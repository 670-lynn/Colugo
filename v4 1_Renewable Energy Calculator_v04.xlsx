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usgbc-my.sharepoint.com/personal/ghampsmire_usgbc_org/Documents/USGBC Work/LEED Development/v4/"/>
    </mc:Choice>
  </mc:AlternateContent>
  <xr:revisionPtr revIDLastSave="0" documentId="8_{DF685AB3-17A5-46DC-8578-3312A9A89FAD}" xr6:coauthVersionLast="47" xr6:coauthVersionMax="47" xr10:uidLastSave="{00000000-0000-0000-0000-000000000000}"/>
  <workbookProtection workbookAlgorithmName="SHA-512" workbookHashValue="dHdjjRutpyDWVmnvu7ulIz2Wy3LmRyGEnsRe828aciYOhg1BcDyCSFHEaac32WZR3i8p47D2aXTLo1OB09bs0g==" workbookSaltValue="xAHAFzWmi6ucXNcKUzvOhw==" workbookSpinCount="100000" lockStructure="1"/>
  <bookViews>
    <workbookView xWindow="-120" yWindow="-120" windowWidth="20730" windowHeight="11160" tabRatio="804" xr2:uid="{00000000-000D-0000-FFFF-FFFF00000000}"/>
  </bookViews>
  <sheets>
    <sheet name="Instructions" sheetId="11" r:id="rId1"/>
    <sheet name="Renewable Energy" sheetId="18" r:id="rId2"/>
    <sheet name="Site_Energy_No_Model" sheetId="22" r:id="rId3"/>
    <sheet name="Summary" sheetId="24" r:id="rId4"/>
    <sheet name="LookupData" sheetId="21" state="hidden" r:id="rId5"/>
  </sheets>
  <definedNames>
    <definedName name="_xlnm._FilterDatabase" localSheetId="0" hidden="1">#REF!</definedName>
    <definedName name="_xlnm._FilterDatabase" localSheetId="1" hidden="1">'Renewable Energy'!#REF!</definedName>
    <definedName name="Building_Type_List">Site_Energy_No_Model!$C$30:$C$110</definedName>
    <definedName name="Building_Type_Table">Site_Energy_No_Model!$C$30:$Q$110</definedName>
    <definedName name="Contract_Date_List">LookupData!$AI$1:$AI$2</definedName>
    <definedName name="Contract_Length_List">IFERROR(IF(ISBLANK('Renewable Energy'!$E1),Select_Contract_Length,IF('Renewable Energy'!$E1="Owned","N/A (owned)",Select_Contract_Length)),Select_Contract_Length)</definedName>
    <definedName name="Contract_Years" localSheetId="1">IFERROR('Renewable Energy'!$F1^2/'Renewable Energy'!$F1,IFERROR(VLOOKUP('Renewable Energy'!$F1,Years_Lookup,2,FALSE),1))</definedName>
    <definedName name="Default_Cooling_Units">IF(IP_SI_Units="IP Units","Ton Hours","kWh")</definedName>
    <definedName name="Default_Elec_Units">IF(IP_SI_Units="IP Units","kWh","kWh")</definedName>
    <definedName name="Default_Electricity_No_Model">Site_Energy_No_Model!$J$21</definedName>
    <definedName name="Default_Fuel_No_Model">Site_Energy_No_Model!$K$21</definedName>
    <definedName name="Default_Fuel_Units">IF(IP_SI_Units="IP Units","therm","kWh")</definedName>
    <definedName name="Default_Gen_Type" localSheetId="1">IFERROR(IF(ISBLANK('Renewable Energy'!$C1),"",VLOOKUP('Renewable Energy'!$C1,Renewable_Source_Table,2,FALSE)),"Electricity")</definedName>
    <definedName name="Default_Heating_Units">IF(IP_SI_Units="IP Units","Btu x 10^6","kWh")</definedName>
    <definedName name="Default_Renewable_Units">IF(ISBLANK('Renewable Energy'!$C1),"",IFERROR(VLOOKUP('Renewable Energy'!$D1,Site_Energy_Table,3,FALSE),Default_Total_Units))</definedName>
    <definedName name="Default_Total_Units">IF(IP_SI_Units="IP Units","Btu x 10^6","MWh")</definedName>
    <definedName name="Energy_Units_List">LookupData!$G$2:$G$8</definedName>
    <definedName name="Energy_Units_Table">LookupData!$G$2:$H$8</definedName>
    <definedName name="IP_SI_Units">Instructions!$J$8</definedName>
    <definedName name="LEED_Renewable_Category">LookupData!$A$2:$A$4</definedName>
    <definedName name="Lookup_RatingSystem">LookupData!$BJ$2:$BJ$12</definedName>
    <definedName name="Lookup_Tier1_Points">LookupData!$AR$3:$AU$53</definedName>
    <definedName name="Lookup_Tier2_Points">LookupData!$AS$3:$AU$53</definedName>
    <definedName name="Lookup_Tier3_Points">LookupData!$AT$3:$AU$33</definedName>
    <definedName name="NA_owned">LookupData!$AE$14:$AE$15</definedName>
    <definedName name="Renewable_Location_Table">LookupData!$M$3:$O$6</definedName>
    <definedName name="Renewable_Source_Table">LookupData!$V$21:$W$40</definedName>
    <definedName name="Select_Contract_Length">LookupData!$AE$2:$AE$14</definedName>
    <definedName name="Site_Energy_Table">'Renewable Energy'!$B$13:$D$17</definedName>
    <definedName name="TableRatingSystem">LookupData!$BJ$2:$BK$12</definedName>
    <definedName name="Tier1_Location_List">LookupData!$M$4:$M$6</definedName>
    <definedName name="Tier1_Procurement_Type">LookupData!$R$2:$R$5</definedName>
    <definedName name="Tier1_Renewable_Type">LookupData!$V$2:$V$15</definedName>
    <definedName name="Tier2_3_Location_List">LookupData!$N$4:$N$6</definedName>
    <definedName name="Tier2_Procurement_Type">LookupData!$S$2:$S$10</definedName>
    <definedName name="Tier2_Renewable_Type">LookupData!$Y$2:$Y$9</definedName>
    <definedName name="Tier3_Procurement_Type">LookupData!$T$2:$T$10</definedName>
    <definedName name="Tier3_Renewable_Type">LookupData!$AA$2:$AA$11</definedName>
    <definedName name="Units_Consumption">LookupData!$G$2:$G$8</definedName>
    <definedName name="Years_Lookup">LookupData!$AE$2:$AF$14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8" l="1" a="1"/>
  <c r="D27" i="18" s="1"/>
  <c r="M13" i="22"/>
  <c r="D17" i="18" a="1"/>
  <c r="D17" i="18" s="1"/>
  <c r="D16" i="18" a="1"/>
  <c r="D16" i="18" s="1"/>
  <c r="D15" i="18" a="1"/>
  <c r="D15" i="18" s="1"/>
  <c r="D14" i="18" a="1"/>
  <c r="D14" i="18" s="1"/>
  <c r="D13" i="18" a="1"/>
  <c r="D13" i="18" s="1"/>
  <c r="D18" i="18" a="1"/>
  <c r="D18" i="18" s="1"/>
  <c r="D32" i="18" a="1"/>
  <c r="D32" i="18" s="1"/>
  <c r="D31" i="18" a="1"/>
  <c r="D31" i="18" s="1"/>
  <c r="D30" i="18" a="1"/>
  <c r="D30" i="18" s="1"/>
  <c r="D29" i="18" a="1"/>
  <c r="D29" i="18" s="1"/>
  <c r="O29" i="18" s="1" a="1"/>
  <c r="O29" i="18" s="1"/>
  <c r="D28" i="18" a="1"/>
  <c r="D28" i="18" s="1"/>
  <c r="O28" i="18" s="1" a="1"/>
  <c r="O28" i="18" s="1"/>
  <c r="O27" i="18" a="1"/>
  <c r="O27" i="18" s="1"/>
  <c r="O36" i="18" a="1"/>
  <c r="O36" i="18" s="1"/>
  <c r="O35" i="18" a="1"/>
  <c r="O35" i="18" s="1"/>
  <c r="O34" i="18" a="1"/>
  <c r="O34" i="18" s="1"/>
  <c r="O33" i="18" a="1"/>
  <c r="O33" i="18" s="1"/>
  <c r="O32" i="18" a="1"/>
  <c r="O32" i="18" s="1"/>
  <c r="O31" i="18" a="1"/>
  <c r="O31" i="18" s="1"/>
  <c r="O30" i="18" a="1"/>
  <c r="O30" i="18" s="1"/>
  <c r="AU53" i="21"/>
  <c r="AU52" i="21"/>
  <c r="AU51" i="21"/>
  <c r="AU50" i="21"/>
  <c r="AU49" i="21"/>
  <c r="AU48" i="21"/>
  <c r="AU47" i="21"/>
  <c r="AU46" i="21"/>
  <c r="AU45" i="21"/>
  <c r="AU44" i="21"/>
  <c r="AU43" i="21"/>
  <c r="AU42" i="21"/>
  <c r="AU41" i="21"/>
  <c r="AU40" i="21"/>
  <c r="AU39" i="21"/>
  <c r="AU38" i="21"/>
  <c r="AU37" i="21"/>
  <c r="AU36" i="21"/>
  <c r="AU35" i="21"/>
  <c r="AU34" i="21"/>
  <c r="AU33" i="21"/>
  <c r="AT33" i="21"/>
  <c r="AT23" i="21"/>
  <c r="AT24" i="21" s="1"/>
  <c r="AT25" i="21" s="1"/>
  <c r="AT26" i="21" s="1"/>
  <c r="AT27" i="21" s="1"/>
  <c r="AT28" i="21" s="1"/>
  <c r="AT29" i="21" s="1"/>
  <c r="AT30" i="21" s="1"/>
  <c r="AT31" i="21" s="1"/>
  <c r="AT32" i="21" s="1"/>
  <c r="AT13" i="21"/>
  <c r="BH63" i="21"/>
  <c r="BF63" i="21"/>
  <c r="BG43" i="21"/>
  <c r="BG33" i="21"/>
  <c r="BG34" i="21" s="1"/>
  <c r="BG35" i="21" s="1"/>
  <c r="BG36" i="21" s="1"/>
  <c r="BG37" i="21" s="1"/>
  <c r="BG38" i="21" s="1"/>
  <c r="BG39" i="21" s="1"/>
  <c r="BG40" i="21" s="1"/>
  <c r="BG41" i="21" s="1"/>
  <c r="BG42" i="21" s="1"/>
  <c r="BE24" i="21"/>
  <c r="BE25" i="21" s="1"/>
  <c r="BE26" i="21" s="1"/>
  <c r="BE27" i="21" s="1"/>
  <c r="BE28" i="21" s="1"/>
  <c r="BE29" i="21" s="1"/>
  <c r="BE30" i="21" s="1"/>
  <c r="BE31" i="21" s="1"/>
  <c r="BE32" i="21" s="1"/>
  <c r="BE33" i="21" s="1"/>
  <c r="BE34" i="21" s="1"/>
  <c r="BE35" i="21" s="1"/>
  <c r="BE36" i="21" s="1"/>
  <c r="BE37" i="21" s="1"/>
  <c r="BE38" i="21" s="1"/>
  <c r="BE39" i="21" s="1"/>
  <c r="BE40" i="21" s="1"/>
  <c r="BE41" i="21" s="1"/>
  <c r="BE42" i="21" s="1"/>
  <c r="BE43" i="21" s="1"/>
  <c r="BE44" i="21" s="1"/>
  <c r="BE45" i="21" s="1"/>
  <c r="BE46" i="21" s="1"/>
  <c r="BE47" i="21" s="1"/>
  <c r="BE48" i="21" s="1"/>
  <c r="BE49" i="21" s="1"/>
  <c r="BE50" i="21" s="1"/>
  <c r="BE51" i="21" s="1"/>
  <c r="BE52" i="21" s="1"/>
  <c r="BE53" i="21" s="1"/>
  <c r="BE54" i="21" s="1"/>
  <c r="BE55" i="21" s="1"/>
  <c r="BE56" i="21" s="1"/>
  <c r="BE57" i="21" s="1"/>
  <c r="BE58" i="21" s="1"/>
  <c r="BE59" i="21" s="1"/>
  <c r="BE60" i="21" s="1"/>
  <c r="BE61" i="21" s="1"/>
  <c r="BE62" i="21" s="1"/>
  <c r="BE63" i="21" s="1"/>
  <c r="BG23" i="21"/>
  <c r="BG24" i="21" s="1"/>
  <c r="BG25" i="21" s="1"/>
  <c r="BG26" i="21" s="1"/>
  <c r="BG27" i="21" s="1"/>
  <c r="BG28" i="21" s="1"/>
  <c r="BG29" i="21" s="1"/>
  <c r="BG30" i="21" s="1"/>
  <c r="BG31" i="21" s="1"/>
  <c r="BG32" i="21" s="1"/>
  <c r="BE23" i="21"/>
  <c r="BG13" i="21"/>
  <c r="BG14" i="21" s="1"/>
  <c r="BG15" i="21" s="1"/>
  <c r="BG16" i="21" s="1"/>
  <c r="BG17" i="21" s="1"/>
  <c r="BG18" i="21" s="1"/>
  <c r="BG19" i="21" s="1"/>
  <c r="BG20" i="21" s="1"/>
  <c r="BG21" i="21" s="1"/>
  <c r="BG22" i="21" s="1"/>
  <c r="BE13" i="21"/>
  <c r="BD5" i="21"/>
  <c r="BD6" i="21" s="1"/>
  <c r="BH4" i="21"/>
  <c r="BG4" i="21" s="1"/>
  <c r="BG5" i="21" s="1"/>
  <c r="BG6" i="21" s="1"/>
  <c r="BG7" i="21" s="1"/>
  <c r="BG8" i="21" s="1"/>
  <c r="BG9" i="21" s="1"/>
  <c r="BG10" i="21" s="1"/>
  <c r="BG11" i="21" s="1"/>
  <c r="BG12" i="21" s="1"/>
  <c r="BF4" i="21"/>
  <c r="BH3" i="21"/>
  <c r="AT14" i="21"/>
  <c r="AT15" i="21" s="1"/>
  <c r="AT16" i="21" s="1"/>
  <c r="AT17" i="21" s="1"/>
  <c r="AT18" i="21" s="1"/>
  <c r="AT19" i="21" s="1"/>
  <c r="AT20" i="21" s="1"/>
  <c r="AT21" i="21" s="1"/>
  <c r="AT22" i="21" s="1"/>
  <c r="BF5" i="21" l="1"/>
  <c r="BH6" i="21"/>
  <c r="BF6" i="21"/>
  <c r="BD7" i="21"/>
  <c r="BH5" i="21"/>
  <c r="BM2" i="21" a="1"/>
  <c r="BM2" i="21" s="1"/>
  <c r="BB11" i="21"/>
  <c r="BB12" i="21"/>
  <c r="BB3" i="21"/>
  <c r="AR23" i="21"/>
  <c r="AR24" i="21" s="1"/>
  <c r="AR25" i="21" s="1"/>
  <c r="AR26" i="21" s="1"/>
  <c r="AR27" i="21" s="1"/>
  <c r="AR28" i="21" s="1"/>
  <c r="AR29" i="21" s="1"/>
  <c r="AR30" i="21" s="1"/>
  <c r="AR31" i="21" s="1"/>
  <c r="AR32" i="21" s="1"/>
  <c r="AR33" i="21" s="1"/>
  <c r="AR34" i="21" s="1"/>
  <c r="AR35" i="21" s="1"/>
  <c r="AR36" i="21" s="1"/>
  <c r="AR37" i="21" s="1"/>
  <c r="AR38" i="21" s="1"/>
  <c r="AR39" i="21" s="1"/>
  <c r="AR40" i="21" s="1"/>
  <c r="AR41" i="21" s="1"/>
  <c r="AR42" i="21" s="1"/>
  <c r="AR43" i="21" s="1"/>
  <c r="AR44" i="21" s="1"/>
  <c r="AR45" i="21" s="1"/>
  <c r="AR46" i="21" s="1"/>
  <c r="AR47" i="21" s="1"/>
  <c r="AR48" i="21" s="1"/>
  <c r="AR49" i="21" s="1"/>
  <c r="AR50" i="21" s="1"/>
  <c r="AR51" i="21" s="1"/>
  <c r="AR52" i="21" s="1"/>
  <c r="AR53" i="21" s="1"/>
  <c r="AX4" i="21"/>
  <c r="AX5" i="21" s="1"/>
  <c r="AX6" i="21" s="1"/>
  <c r="AX7" i="21" s="1"/>
  <c r="AX8" i="21" s="1"/>
  <c r="AX9" i="21" s="1"/>
  <c r="AX10" i="21" s="1"/>
  <c r="AX11" i="21" s="1"/>
  <c r="AX12" i="21" s="1"/>
  <c r="AX13" i="21" s="1"/>
  <c r="AX14" i="21" s="1"/>
  <c r="AX15" i="21" s="1"/>
  <c r="AX16" i="21" s="1"/>
  <c r="AX17" i="21" s="1"/>
  <c r="AX18" i="21" s="1"/>
  <c r="AX19" i="21" s="1"/>
  <c r="AX20" i="21" s="1"/>
  <c r="AX21" i="21" s="1"/>
  <c r="AX22" i="21" s="1"/>
  <c r="AX23" i="21" s="1"/>
  <c r="AX24" i="21" s="1"/>
  <c r="AX25" i="21" s="1"/>
  <c r="AX26" i="21" s="1"/>
  <c r="AX27" i="21" s="1"/>
  <c r="AX28" i="21" s="1"/>
  <c r="BB28" i="21" s="1"/>
  <c r="S36" i="18"/>
  <c r="R36" i="18"/>
  <c r="Q36" i="18"/>
  <c r="S35" i="18"/>
  <c r="R35" i="18"/>
  <c r="Q35" i="18"/>
  <c r="S34" i="18"/>
  <c r="R34" i="18"/>
  <c r="Q34" i="18"/>
  <c r="S33" i="18"/>
  <c r="R33" i="18"/>
  <c r="Q33" i="18"/>
  <c r="S32" i="18"/>
  <c r="R32" i="18"/>
  <c r="Q32" i="18"/>
  <c r="S31" i="18"/>
  <c r="R31" i="18"/>
  <c r="Q31" i="18"/>
  <c r="S30" i="18"/>
  <c r="R30" i="18"/>
  <c r="Q30" i="18"/>
  <c r="N36" i="18"/>
  <c r="N35" i="18"/>
  <c r="N34" i="18"/>
  <c r="N33" i="18"/>
  <c r="N32" i="18"/>
  <c r="N31" i="18"/>
  <c r="N30" i="18"/>
  <c r="A30" i="18"/>
  <c r="A31" i="18"/>
  <c r="A32" i="18"/>
  <c r="A33" i="18"/>
  <c r="A34" i="18"/>
  <c r="A35" i="18"/>
  <c r="A36" i="18"/>
  <c r="A29" i="18"/>
  <c r="A28" i="18"/>
  <c r="A27" i="18"/>
  <c r="BD8" i="21" l="1"/>
  <c r="BH7" i="21"/>
  <c r="BF7" i="21"/>
  <c r="BB18" i="21"/>
  <c r="BB13" i="21"/>
  <c r="BB27" i="21"/>
  <c r="BB26" i="21"/>
  <c r="BB10" i="21"/>
  <c r="BB21" i="21"/>
  <c r="BB9" i="21"/>
  <c r="BB20" i="21"/>
  <c r="BB5" i="21"/>
  <c r="BB19" i="21"/>
  <c r="BB4" i="21"/>
  <c r="BB25" i="21"/>
  <c r="BB17" i="21"/>
  <c r="BB24" i="21"/>
  <c r="BB16" i="21"/>
  <c r="BB8" i="21"/>
  <c r="BB23" i="21"/>
  <c r="BB15" i="21"/>
  <c r="BB7" i="21"/>
  <c r="BB22" i="21"/>
  <c r="BB14" i="21"/>
  <c r="BB6" i="21"/>
  <c r="D36" i="18" a="1"/>
  <c r="D36" i="18" s="1"/>
  <c r="D35" i="18" a="1"/>
  <c r="D35" i="18" s="1"/>
  <c r="D34" i="18" a="1"/>
  <c r="D34" i="18" s="1"/>
  <c r="D33" i="18" a="1"/>
  <c r="D33" i="18" s="1"/>
  <c r="AA27" i="18"/>
  <c r="X17" i="18"/>
  <c r="X16" i="18"/>
  <c r="X15" i="18"/>
  <c r="D21" i="22"/>
  <c r="AS4" i="21"/>
  <c r="AR13" i="21"/>
  <c r="BF8" i="21" l="1"/>
  <c r="BD9" i="21"/>
  <c r="BH8" i="21"/>
  <c r="D21" i="18"/>
  <c r="D20" i="18"/>
  <c r="D19" i="18"/>
  <c r="X19" i="18"/>
  <c r="BD10" i="21" l="1"/>
  <c r="BH9" i="21"/>
  <c r="BF9" i="21"/>
  <c r="AU3" i="21"/>
  <c r="AU4" i="21"/>
  <c r="AT4" i="21" s="1"/>
  <c r="AT5" i="21" s="1"/>
  <c r="AT6" i="21" s="1"/>
  <c r="AT7" i="21" s="1"/>
  <c r="AT8" i="21" s="1"/>
  <c r="AT9" i="21" s="1"/>
  <c r="AT10" i="21" s="1"/>
  <c r="AT11" i="21" s="1"/>
  <c r="AT12" i="21" s="1"/>
  <c r="AQ5" i="21"/>
  <c r="AN7" i="21"/>
  <c r="AN8" i="21"/>
  <c r="BD11" i="21" l="1"/>
  <c r="BH10" i="21"/>
  <c r="BF10" i="21"/>
  <c r="AU5" i="21"/>
  <c r="AS5" i="21"/>
  <c r="AN19" i="21" s="1"/>
  <c r="AN20" i="21" s="1"/>
  <c r="AN21" i="21" s="1"/>
  <c r="AN22" i="21" s="1"/>
  <c r="AN23" i="21" s="1"/>
  <c r="AQ6" i="21"/>
  <c r="AN10" i="21"/>
  <c r="D13" i="22"/>
  <c r="BF11" i="21" l="1"/>
  <c r="BH11" i="21"/>
  <c r="BD12" i="21"/>
  <c r="AU6" i="21"/>
  <c r="AQ7" i="21"/>
  <c r="AS6" i="21"/>
  <c r="BD13" i="21" l="1"/>
  <c r="BH12" i="21"/>
  <c r="BF12" i="21"/>
  <c r="AQ8" i="21"/>
  <c r="AS7" i="21"/>
  <c r="AU7" i="21"/>
  <c r="BF13" i="21" l="1"/>
  <c r="BD14" i="21"/>
  <c r="BH13" i="21"/>
  <c r="AQ9" i="21"/>
  <c r="AS8" i="21"/>
  <c r="AU8" i="21"/>
  <c r="BF14" i="21" l="1"/>
  <c r="BH14" i="21"/>
  <c r="BD15" i="21"/>
  <c r="AQ10" i="21"/>
  <c r="AS9" i="21"/>
  <c r="AU9" i="21"/>
  <c r="BD16" i="21" l="1"/>
  <c r="BH15" i="21"/>
  <c r="BF15" i="21"/>
  <c r="AQ11" i="21"/>
  <c r="AS10" i="21"/>
  <c r="AU10" i="21"/>
  <c r="BF16" i="21" l="1"/>
  <c r="BD17" i="21"/>
  <c r="BH16" i="21"/>
  <c r="AQ12" i="21"/>
  <c r="AS11" i="21"/>
  <c r="AU11" i="21"/>
  <c r="BH17" i="21" l="1"/>
  <c r="BD18" i="21"/>
  <c r="BF17" i="21"/>
  <c r="AQ13" i="21"/>
  <c r="AS12" i="21"/>
  <c r="AU12" i="21"/>
  <c r="BD19" i="21" l="1"/>
  <c r="BH18" i="21"/>
  <c r="BF18" i="21"/>
  <c r="AQ14" i="21"/>
  <c r="AS13" i="21"/>
  <c r="AU13" i="21"/>
  <c r="BF19" i="21" l="1"/>
  <c r="BD20" i="21"/>
  <c r="BH19" i="21"/>
  <c r="AQ15" i="21"/>
  <c r="AS14" i="21"/>
  <c r="AU14" i="21"/>
  <c r="BD21" i="21" l="1"/>
  <c r="BH20" i="21"/>
  <c r="BF20" i="21"/>
  <c r="AQ16" i="21"/>
  <c r="AS15" i="21"/>
  <c r="AU15" i="21"/>
  <c r="BD22" i="21" l="1"/>
  <c r="BF21" i="21"/>
  <c r="BH21" i="21"/>
  <c r="AQ17" i="21"/>
  <c r="AS16" i="21"/>
  <c r="AU16" i="21"/>
  <c r="BF22" i="21" l="1"/>
  <c r="BH22" i="21"/>
  <c r="BD23" i="21"/>
  <c r="AQ18" i="21"/>
  <c r="AS17" i="21"/>
  <c r="AU17" i="21"/>
  <c r="BD24" i="21" l="1"/>
  <c r="BH23" i="21"/>
  <c r="BF23" i="21"/>
  <c r="AQ19" i="21"/>
  <c r="AS18" i="21"/>
  <c r="AU18" i="21"/>
  <c r="BD25" i="21" l="1"/>
  <c r="BH24" i="21"/>
  <c r="BF24" i="21"/>
  <c r="AQ20" i="21"/>
  <c r="AS19" i="21"/>
  <c r="AU19" i="21"/>
  <c r="BF25" i="21" l="1"/>
  <c r="BD26" i="21"/>
  <c r="BH25" i="21"/>
  <c r="AQ21" i="21"/>
  <c r="AS20" i="21"/>
  <c r="AU20" i="21"/>
  <c r="BF26" i="21" l="1"/>
  <c r="BH26" i="21"/>
  <c r="BD27" i="21"/>
  <c r="AQ22" i="21"/>
  <c r="AS21" i="21"/>
  <c r="AU21" i="21"/>
  <c r="BD28" i="21" l="1"/>
  <c r="BH27" i="21"/>
  <c r="BF27" i="21"/>
  <c r="AS22" i="21"/>
  <c r="AQ23" i="21"/>
  <c r="AU22" i="21"/>
  <c r="BD29" i="21" l="1"/>
  <c r="BH28" i="21"/>
  <c r="BF28" i="21"/>
  <c r="AS23" i="21"/>
  <c r="AU23" i="21"/>
  <c r="AQ24" i="21"/>
  <c r="BF29" i="21" l="1"/>
  <c r="BD30" i="21"/>
  <c r="BH29" i="21"/>
  <c r="AS24" i="21"/>
  <c r="AU24" i="21"/>
  <c r="AQ25" i="21"/>
  <c r="BF30" i="21" l="1"/>
  <c r="BD31" i="21"/>
  <c r="BH30" i="21"/>
  <c r="AS25" i="21"/>
  <c r="AU25" i="21"/>
  <c r="AQ26" i="21"/>
  <c r="BD32" i="21" l="1"/>
  <c r="BH31" i="21"/>
  <c r="BF31" i="21"/>
  <c r="AS26" i="21"/>
  <c r="AQ27" i="21"/>
  <c r="AU26" i="21"/>
  <c r="BD33" i="21" l="1"/>
  <c r="BH32" i="21"/>
  <c r="BF32" i="21"/>
  <c r="AS27" i="21"/>
  <c r="AQ28" i="21"/>
  <c r="AU27" i="21"/>
  <c r="BF33" i="21" l="1"/>
  <c r="BD34" i="21"/>
  <c r="BH33" i="21"/>
  <c r="AS28" i="21"/>
  <c r="AU28" i="21"/>
  <c r="AQ29" i="21"/>
  <c r="BF34" i="21" l="1"/>
  <c r="BD35" i="21"/>
  <c r="BH34" i="21"/>
  <c r="AS29" i="21"/>
  <c r="AU29" i="21"/>
  <c r="AQ30" i="21"/>
  <c r="BD36" i="21" l="1"/>
  <c r="BH35" i="21"/>
  <c r="BF35" i="21"/>
  <c r="AS30" i="21"/>
  <c r="AQ31" i="21"/>
  <c r="AU30" i="21"/>
  <c r="BD37" i="21" l="1"/>
  <c r="BH36" i="21"/>
  <c r="BF36" i="21"/>
  <c r="AS31" i="21"/>
  <c r="AQ32" i="21"/>
  <c r="AU31" i="21"/>
  <c r="H20" i="22"/>
  <c r="K20" i="22" s="1"/>
  <c r="G20" i="22"/>
  <c r="J20" i="22" s="1"/>
  <c r="H19" i="22"/>
  <c r="K19" i="22" s="1"/>
  <c r="G19" i="22"/>
  <c r="J19" i="22" s="1"/>
  <c r="H18" i="22"/>
  <c r="K18" i="22" s="1"/>
  <c r="G18" i="22"/>
  <c r="J18" i="22" s="1"/>
  <c r="H17" i="22"/>
  <c r="K17" i="22" s="1"/>
  <c r="G17" i="22"/>
  <c r="J17" i="22" s="1"/>
  <c r="H16" i="22"/>
  <c r="K16" i="22" s="1"/>
  <c r="G16" i="22"/>
  <c r="J16" i="22" s="1"/>
  <c r="H15" i="22"/>
  <c r="K15" i="22" s="1"/>
  <c r="G15" i="22"/>
  <c r="J15" i="22" s="1"/>
  <c r="H13" i="22"/>
  <c r="K13" i="22"/>
  <c r="G103" i="22"/>
  <c r="G102" i="22"/>
  <c r="H102" i="22" s="1"/>
  <c r="G101" i="22"/>
  <c r="G100" i="22"/>
  <c r="H100" i="22" s="1"/>
  <c r="G99" i="22"/>
  <c r="J13" i="22"/>
  <c r="G13" i="22"/>
  <c r="G77" i="22"/>
  <c r="H77" i="22" s="1"/>
  <c r="G78" i="22"/>
  <c r="H78" i="22" s="1"/>
  <c r="G79" i="22"/>
  <c r="H79" i="22" s="1"/>
  <c r="G110" i="22"/>
  <c r="G109" i="22"/>
  <c r="H109" i="22" s="1"/>
  <c r="G108" i="22"/>
  <c r="G107" i="22"/>
  <c r="H107" i="22" s="1"/>
  <c r="G106" i="22"/>
  <c r="H106" i="22" s="1"/>
  <c r="G105" i="22"/>
  <c r="H105" i="22" s="1"/>
  <c r="G104" i="22"/>
  <c r="H104" i="22" s="1"/>
  <c r="G98" i="22"/>
  <c r="H98" i="22" s="1"/>
  <c r="G97" i="22"/>
  <c r="G96" i="22"/>
  <c r="G95" i="22"/>
  <c r="H95" i="22" s="1"/>
  <c r="G94" i="22"/>
  <c r="G93" i="22"/>
  <c r="G92" i="22"/>
  <c r="G91" i="22"/>
  <c r="H91" i="22" s="1"/>
  <c r="G90" i="22"/>
  <c r="H90" i="22" s="1"/>
  <c r="G89" i="22"/>
  <c r="G88" i="22"/>
  <c r="G87" i="22"/>
  <c r="H87" i="22" s="1"/>
  <c r="G86" i="22"/>
  <c r="G85" i="22"/>
  <c r="G84" i="22"/>
  <c r="G83" i="22"/>
  <c r="H83" i="22" s="1"/>
  <c r="G82" i="22"/>
  <c r="H82" i="22" s="1"/>
  <c r="G81" i="22"/>
  <c r="G80" i="22"/>
  <c r="G76" i="22"/>
  <c r="G75" i="22"/>
  <c r="H75" i="22" s="1"/>
  <c r="G74" i="22"/>
  <c r="G73" i="22"/>
  <c r="H73" i="22" s="1"/>
  <c r="G72" i="22"/>
  <c r="G71" i="22"/>
  <c r="H71" i="22" s="1"/>
  <c r="G70" i="22"/>
  <c r="G69" i="22"/>
  <c r="G68" i="22"/>
  <c r="G67" i="22"/>
  <c r="H67" i="22" s="1"/>
  <c r="G66" i="22"/>
  <c r="H66" i="22" s="1"/>
  <c r="G65" i="22"/>
  <c r="G64" i="22"/>
  <c r="G63" i="22"/>
  <c r="H63" i="22" s="1"/>
  <c r="G62" i="22"/>
  <c r="G61" i="22"/>
  <c r="G60" i="22"/>
  <c r="H60" i="22" s="1"/>
  <c r="G59" i="22"/>
  <c r="H59" i="22" s="1"/>
  <c r="G58" i="22"/>
  <c r="H58" i="22" s="1"/>
  <c r="G57" i="22"/>
  <c r="H57" i="22" s="1"/>
  <c r="G56" i="22"/>
  <c r="G55" i="22"/>
  <c r="H55" i="22" s="1"/>
  <c r="G54" i="22"/>
  <c r="H54" i="22" s="1"/>
  <c r="G53" i="22"/>
  <c r="G52" i="22"/>
  <c r="G51" i="22"/>
  <c r="H51" i="22" s="1"/>
  <c r="G50" i="22"/>
  <c r="G49" i="22"/>
  <c r="G48" i="22"/>
  <c r="G47" i="22"/>
  <c r="H47" i="22" s="1"/>
  <c r="G46" i="22"/>
  <c r="G45" i="22"/>
  <c r="G44" i="22"/>
  <c r="G43" i="22"/>
  <c r="H43" i="22" s="1"/>
  <c r="G42" i="22"/>
  <c r="H42" i="22" s="1"/>
  <c r="G41" i="22"/>
  <c r="G40" i="22"/>
  <c r="G39" i="22"/>
  <c r="H39" i="22" s="1"/>
  <c r="G38" i="22"/>
  <c r="H38" i="22" s="1"/>
  <c r="G37" i="22"/>
  <c r="G36" i="22"/>
  <c r="G35" i="22"/>
  <c r="H35" i="22" s="1"/>
  <c r="G34" i="22"/>
  <c r="G33" i="22"/>
  <c r="H33" i="22" s="1"/>
  <c r="G32" i="22"/>
  <c r="G31" i="22"/>
  <c r="H31" i="22" s="1"/>
  <c r="G30" i="22"/>
  <c r="H30" i="22" s="1"/>
  <c r="BF37" i="21" l="1"/>
  <c r="BD38" i="21"/>
  <c r="BH37" i="21"/>
  <c r="AS32" i="21"/>
  <c r="AQ33" i="21"/>
  <c r="AU32" i="21"/>
  <c r="M18" i="22"/>
  <c r="N42" i="22"/>
  <c r="M80" i="22"/>
  <c r="M32" i="22"/>
  <c r="M52" i="22"/>
  <c r="N71" i="22"/>
  <c r="M41" i="22"/>
  <c r="M49" i="22"/>
  <c r="N58" i="22"/>
  <c r="M89" i="22"/>
  <c r="M94" i="22"/>
  <c r="N77" i="22"/>
  <c r="N59" i="22"/>
  <c r="M110" i="22"/>
  <c r="M103" i="22"/>
  <c r="M37" i="22"/>
  <c r="N39" i="22"/>
  <c r="M101" i="22"/>
  <c r="N35" i="22"/>
  <c r="N43" i="22"/>
  <c r="N60" i="22"/>
  <c r="N79" i="22"/>
  <c r="N31" i="22"/>
  <c r="M56" i="22"/>
  <c r="M65" i="22"/>
  <c r="M69" i="22"/>
  <c r="M81" i="22"/>
  <c r="M92" i="22"/>
  <c r="M97" i="22"/>
  <c r="N107" i="22"/>
  <c r="N38" i="22"/>
  <c r="M50" i="22"/>
  <c r="N90" i="22"/>
  <c r="M36" i="22"/>
  <c r="M34" i="22"/>
  <c r="N54" i="22"/>
  <c r="N30" i="22"/>
  <c r="M40" i="22"/>
  <c r="M48" i="22"/>
  <c r="N87" i="22"/>
  <c r="M108" i="22"/>
  <c r="N78" i="22"/>
  <c r="M99" i="22"/>
  <c r="N57" i="22"/>
  <c r="M61" i="22"/>
  <c r="N66" i="22"/>
  <c r="N82" i="22"/>
  <c r="M88" i="22"/>
  <c r="M93" i="22"/>
  <c r="N98" i="22"/>
  <c r="N102" i="22"/>
  <c r="M20" i="22"/>
  <c r="M19" i="22"/>
  <c r="H103" i="22"/>
  <c r="N103" i="22" s="1"/>
  <c r="H101" i="22"/>
  <c r="N101" i="22" s="1"/>
  <c r="M102" i="22"/>
  <c r="H99" i="22"/>
  <c r="N99" i="22" s="1"/>
  <c r="M100" i="22"/>
  <c r="M79" i="22"/>
  <c r="M78" i="22"/>
  <c r="M77" i="22"/>
  <c r="H45" i="22"/>
  <c r="N45" i="22" s="1"/>
  <c r="M54" i="22"/>
  <c r="H68" i="22"/>
  <c r="N68" i="22" s="1"/>
  <c r="H49" i="22"/>
  <c r="N49" i="22" s="1"/>
  <c r="M31" i="22"/>
  <c r="M47" i="22"/>
  <c r="M66" i="22"/>
  <c r="H74" i="22"/>
  <c r="N74" i="22" s="1"/>
  <c r="M42" i="22"/>
  <c r="H85" i="22"/>
  <c r="N85" i="22" s="1"/>
  <c r="H96" i="22"/>
  <c r="N96" i="22" s="1"/>
  <c r="H41" i="22"/>
  <c r="N41" i="22" s="1"/>
  <c r="H50" i="22"/>
  <c r="N50" i="22" s="1"/>
  <c r="M58" i="22"/>
  <c r="H61" i="22"/>
  <c r="N61" i="22" s="1"/>
  <c r="H93" i="22"/>
  <c r="N93" i="22" s="1"/>
  <c r="M38" i="22"/>
  <c r="H65" i="22"/>
  <c r="N65" i="22" s="1"/>
  <c r="M35" i="22"/>
  <c r="H37" i="22"/>
  <c r="N37" i="22" s="1"/>
  <c r="H46" i="22"/>
  <c r="N46" i="22" s="1"/>
  <c r="H53" i="22"/>
  <c r="N53" i="22" s="1"/>
  <c r="M67" i="22"/>
  <c r="M83" i="22"/>
  <c r="H86" i="22"/>
  <c r="N86" i="22" s="1"/>
  <c r="H69" i="22"/>
  <c r="N69" i="22" s="1"/>
  <c r="M30" i="22"/>
  <c r="M39" i="22"/>
  <c r="Q39" i="22" s="1"/>
  <c r="M107" i="22"/>
  <c r="H110" i="22"/>
  <c r="N110" i="22" s="1"/>
  <c r="H89" i="22"/>
  <c r="N89" i="22" s="1"/>
  <c r="H81" i="22"/>
  <c r="N81" i="22" s="1"/>
  <c r="H36" i="22"/>
  <c r="N36" i="22" s="1"/>
  <c r="M91" i="22"/>
  <c r="H94" i="22"/>
  <c r="N94" i="22" s="1"/>
  <c r="H108" i="22"/>
  <c r="N108" i="22" s="1"/>
  <c r="M51" i="22"/>
  <c r="H34" i="22"/>
  <c r="N34" i="22" s="1"/>
  <c r="Q34" i="22" s="1"/>
  <c r="H62" i="22"/>
  <c r="N62" i="22" s="1"/>
  <c r="M75" i="22"/>
  <c r="M87" i="22"/>
  <c r="M43" i="22"/>
  <c r="M55" i="22"/>
  <c r="H70" i="22"/>
  <c r="N70" i="22" s="1"/>
  <c r="M95" i="22"/>
  <c r="M59" i="22"/>
  <c r="M63" i="22"/>
  <c r="M71" i="22"/>
  <c r="K110" i="22"/>
  <c r="U110" i="22" s="1"/>
  <c r="K109" i="22"/>
  <c r="M109" i="22" s="1"/>
  <c r="J94" i="22"/>
  <c r="K93" i="22"/>
  <c r="U93" i="22" s="1"/>
  <c r="J86" i="22"/>
  <c r="K85" i="22"/>
  <c r="J70" i="22"/>
  <c r="K69" i="22"/>
  <c r="J62" i="22"/>
  <c r="K61" i="22"/>
  <c r="M60" i="22"/>
  <c r="J54" i="22"/>
  <c r="K53" i="22"/>
  <c r="J46" i="22"/>
  <c r="K45" i="22"/>
  <c r="J38" i="22"/>
  <c r="K37" i="22"/>
  <c r="J108" i="22"/>
  <c r="K107" i="22"/>
  <c r="M106" i="22"/>
  <c r="N105" i="22"/>
  <c r="M98" i="22"/>
  <c r="J92" i="22"/>
  <c r="K91" i="22"/>
  <c r="M90" i="22"/>
  <c r="J84" i="22"/>
  <c r="K83" i="22"/>
  <c r="M82" i="22"/>
  <c r="J107" i="22"/>
  <c r="K106" i="22"/>
  <c r="M105" i="22"/>
  <c r="N104" i="22"/>
  <c r="K98" i="22"/>
  <c r="J91" i="22"/>
  <c r="K90" i="22"/>
  <c r="J83" i="22"/>
  <c r="K82" i="22"/>
  <c r="J75" i="22"/>
  <c r="K74" i="22"/>
  <c r="M73" i="22"/>
  <c r="J67" i="22"/>
  <c r="K66" i="22"/>
  <c r="J59" i="22"/>
  <c r="K58" i="22"/>
  <c r="M57" i="22"/>
  <c r="J51" i="22"/>
  <c r="K50" i="22"/>
  <c r="J43" i="22"/>
  <c r="K42" i="22"/>
  <c r="J35" i="22"/>
  <c r="K34" i="22"/>
  <c r="M33" i="22"/>
  <c r="J106" i="22"/>
  <c r="K105" i="22"/>
  <c r="M104" i="22"/>
  <c r="J98" i="22"/>
  <c r="K97" i="22"/>
  <c r="J90" i="22"/>
  <c r="K89" i="22"/>
  <c r="J82" i="22"/>
  <c r="K81" i="22"/>
  <c r="J74" i="22"/>
  <c r="K73" i="22"/>
  <c r="J66" i="22"/>
  <c r="K65" i="22"/>
  <c r="J58" i="22"/>
  <c r="K57" i="22"/>
  <c r="J50" i="22"/>
  <c r="K49" i="22"/>
  <c r="J42" i="22"/>
  <c r="K41" i="22"/>
  <c r="J34" i="22"/>
  <c r="K33" i="22"/>
  <c r="J104" i="22"/>
  <c r="J96" i="22"/>
  <c r="K95" i="22"/>
  <c r="J88" i="22"/>
  <c r="K87" i="22"/>
  <c r="J80" i="22"/>
  <c r="J72" i="22"/>
  <c r="K71" i="22"/>
  <c r="J64" i="22"/>
  <c r="K63" i="22"/>
  <c r="J56" i="22"/>
  <c r="K55" i="22"/>
  <c r="J95" i="22"/>
  <c r="K94" i="22"/>
  <c r="J87" i="22"/>
  <c r="K86" i="22"/>
  <c r="J71" i="22"/>
  <c r="K70" i="22"/>
  <c r="J63" i="22"/>
  <c r="K62" i="22"/>
  <c r="J55" i="22"/>
  <c r="K54" i="22"/>
  <c r="J47" i="22"/>
  <c r="K46" i="22"/>
  <c r="J39" i="22"/>
  <c r="K38" i="22"/>
  <c r="H32" i="22"/>
  <c r="N32" i="22" s="1"/>
  <c r="H40" i="22"/>
  <c r="N40" i="22" s="1"/>
  <c r="H48" i="22"/>
  <c r="N48" i="22" s="1"/>
  <c r="H56" i="22"/>
  <c r="N56" i="22" s="1"/>
  <c r="H64" i="22"/>
  <c r="N64" i="22" s="1"/>
  <c r="H72" i="22"/>
  <c r="N72" i="22" s="1"/>
  <c r="H80" i="22"/>
  <c r="N80" i="22" s="1"/>
  <c r="H88" i="22"/>
  <c r="N88" i="22" s="1"/>
  <c r="H97" i="22"/>
  <c r="N97" i="22" s="1"/>
  <c r="H44" i="22"/>
  <c r="N44" i="22" s="1"/>
  <c r="H52" i="22"/>
  <c r="N52" i="22" s="1"/>
  <c r="H76" i="22"/>
  <c r="N76" i="22" s="1"/>
  <c r="H84" i="22"/>
  <c r="N84" i="22" s="1"/>
  <c r="H92" i="22"/>
  <c r="N92" i="22" s="1"/>
  <c r="BF38" i="21" l="1"/>
  <c r="BH38" i="21"/>
  <c r="BD39" i="21"/>
  <c r="AS33" i="21"/>
  <c r="Q92" i="22"/>
  <c r="U65" i="22"/>
  <c r="Q93" i="22"/>
  <c r="U69" i="22"/>
  <c r="U94" i="22"/>
  <c r="P99" i="22"/>
  <c r="U34" i="22"/>
  <c r="Q94" i="22"/>
  <c r="Q97" i="22"/>
  <c r="U97" i="22"/>
  <c r="P69" i="22"/>
  <c r="P36" i="22"/>
  <c r="P61" i="22"/>
  <c r="U61" i="22"/>
  <c r="Q65" i="22"/>
  <c r="P54" i="22"/>
  <c r="AQ34" i="21"/>
  <c r="P38" i="22"/>
  <c r="Q103" i="22"/>
  <c r="P66" i="22"/>
  <c r="G14" i="22"/>
  <c r="J14" i="22" s="1"/>
  <c r="U37" i="22"/>
  <c r="P52" i="22"/>
  <c r="P50" i="22"/>
  <c r="P31" i="22"/>
  <c r="P108" i="22"/>
  <c r="P103" i="22"/>
  <c r="P88" i="22"/>
  <c r="Q30" i="22"/>
  <c r="U49" i="22"/>
  <c r="U81" i="22"/>
  <c r="P81" i="22"/>
  <c r="M45" i="22"/>
  <c r="U45" i="22" s="1"/>
  <c r="M44" i="22"/>
  <c r="P44" i="22" s="1"/>
  <c r="P32" i="22"/>
  <c r="U89" i="22"/>
  <c r="P89" i="22"/>
  <c r="P49" i="22"/>
  <c r="N91" i="22"/>
  <c r="P91" i="22" s="1"/>
  <c r="N95" i="22"/>
  <c r="P95" i="22" s="1"/>
  <c r="M84" i="22"/>
  <c r="P84" i="22" s="1"/>
  <c r="N33" i="22"/>
  <c r="M17" i="22" s="1"/>
  <c r="Q80" i="22"/>
  <c r="Q110" i="22"/>
  <c r="P42" i="22"/>
  <c r="J110" i="22"/>
  <c r="J99" i="22"/>
  <c r="K77" i="22"/>
  <c r="U77" i="22" s="1"/>
  <c r="K30" i="22"/>
  <c r="U30" i="22" s="1"/>
  <c r="K108" i="22"/>
  <c r="U108" i="22" s="1"/>
  <c r="K75" i="22"/>
  <c r="U75" i="22" s="1"/>
  <c r="J52" i="22"/>
  <c r="J48" i="22"/>
  <c r="J44" i="22"/>
  <c r="J40" i="22"/>
  <c r="J36" i="22"/>
  <c r="J32" i="22"/>
  <c r="K101" i="22"/>
  <c r="J31" i="22"/>
  <c r="J97" i="22"/>
  <c r="K92" i="22"/>
  <c r="U92" i="22" s="1"/>
  <c r="J68" i="22"/>
  <c r="J69" i="22"/>
  <c r="J105" i="22"/>
  <c r="J101" i="22"/>
  <c r="J78" i="22"/>
  <c r="K31" i="22"/>
  <c r="U31" i="22" s="1"/>
  <c r="J60" i="22"/>
  <c r="K51" i="22"/>
  <c r="U51" i="22" s="1"/>
  <c r="K47" i="22"/>
  <c r="U47" i="22" s="1"/>
  <c r="K43" i="22"/>
  <c r="K39" i="22"/>
  <c r="U39" i="22" s="1"/>
  <c r="K35" i="22"/>
  <c r="U35" i="22" s="1"/>
  <c r="K78" i="22"/>
  <c r="U78" i="22" s="1"/>
  <c r="J85" i="22"/>
  <c r="K80" i="22"/>
  <c r="U80" i="22" s="1"/>
  <c r="J73" i="22"/>
  <c r="K64" i="22"/>
  <c r="K100" i="22"/>
  <c r="U100" i="22" s="1"/>
  <c r="K103" i="22"/>
  <c r="U103" i="22" s="1"/>
  <c r="K96" i="22"/>
  <c r="K68" i="22"/>
  <c r="J100" i="22"/>
  <c r="J79" i="22"/>
  <c r="J89" i="22"/>
  <c r="K84" i="22"/>
  <c r="K76" i="22"/>
  <c r="K72" i="22"/>
  <c r="J53" i="22"/>
  <c r="J49" i="22"/>
  <c r="J45" i="22"/>
  <c r="J41" i="22"/>
  <c r="J37" i="22"/>
  <c r="J33" i="22"/>
  <c r="K102" i="22"/>
  <c r="U102" i="22" s="1"/>
  <c r="K79" i="22"/>
  <c r="U79" i="22" s="1"/>
  <c r="J109" i="22"/>
  <c r="K104" i="22"/>
  <c r="U104" i="22" s="1"/>
  <c r="J76" i="22"/>
  <c r="K67" i="22"/>
  <c r="U67" i="22" s="1"/>
  <c r="J102" i="22"/>
  <c r="K99" i="22"/>
  <c r="J77" i="22"/>
  <c r="J30" i="22"/>
  <c r="J93" i="22"/>
  <c r="K88" i="22"/>
  <c r="U88" i="22" s="1"/>
  <c r="J61" i="22"/>
  <c r="J57" i="22"/>
  <c r="K52" i="22"/>
  <c r="U52" i="22" s="1"/>
  <c r="K48" i="22"/>
  <c r="U48" i="22" s="1"/>
  <c r="K44" i="22"/>
  <c r="K40" i="22"/>
  <c r="U40" i="22" s="1"/>
  <c r="K36" i="22"/>
  <c r="U36" i="22" s="1"/>
  <c r="K32" i="22"/>
  <c r="U32" i="22" s="1"/>
  <c r="J81" i="22"/>
  <c r="J65" i="22"/>
  <c r="K60" i="22"/>
  <c r="U60" i="22" s="1"/>
  <c r="K56" i="22"/>
  <c r="U56" i="22" s="1"/>
  <c r="J103" i="22"/>
  <c r="K59" i="22"/>
  <c r="U59" i="22" s="1"/>
  <c r="N55" i="22"/>
  <c r="P55" i="22" s="1"/>
  <c r="M68" i="22"/>
  <c r="U68" i="22" s="1"/>
  <c r="M72" i="22"/>
  <c r="P72" i="22" s="1"/>
  <c r="N83" i="22"/>
  <c r="Q83" i="22" s="1"/>
  <c r="M96" i="22"/>
  <c r="P96" i="22" s="1"/>
  <c r="Q107" i="22"/>
  <c r="Q58" i="22"/>
  <c r="M86" i="22"/>
  <c r="P86" i="22" s="1"/>
  <c r="N106" i="22"/>
  <c r="P106" i="22" s="1"/>
  <c r="N47" i="22"/>
  <c r="P47" i="22" s="1"/>
  <c r="N63" i="22"/>
  <c r="P63" i="22" s="1"/>
  <c r="M62" i="22"/>
  <c r="U62" i="22" s="1"/>
  <c r="M76" i="22"/>
  <c r="Q76" i="22" s="1"/>
  <c r="M85" i="22"/>
  <c r="U85" i="22" s="1"/>
  <c r="Q56" i="22"/>
  <c r="U41" i="22"/>
  <c r="U50" i="22"/>
  <c r="M15" i="22"/>
  <c r="P37" i="22"/>
  <c r="Q41" i="22"/>
  <c r="Q102" i="22"/>
  <c r="M70" i="22"/>
  <c r="U70" i="22" s="1"/>
  <c r="N75" i="22"/>
  <c r="P75" i="22" s="1"/>
  <c r="N73" i="22"/>
  <c r="Q73" i="22" s="1"/>
  <c r="M74" i="22"/>
  <c r="U74" i="22" s="1"/>
  <c r="N51" i="22"/>
  <c r="P51" i="22" s="1"/>
  <c r="M64" i="22"/>
  <c r="N100" i="22"/>
  <c r="P100" i="22" s="1"/>
  <c r="M53" i="22"/>
  <c r="P53" i="22" s="1"/>
  <c r="N67" i="22"/>
  <c r="P67" i="22" s="1"/>
  <c r="M46" i="22"/>
  <c r="P46" i="22" s="1"/>
  <c r="Q101" i="22"/>
  <c r="H14" i="22"/>
  <c r="K14" i="22" s="1"/>
  <c r="P101" i="22"/>
  <c r="P102" i="22"/>
  <c r="P58" i="22"/>
  <c r="Q99" i="22"/>
  <c r="U54" i="22"/>
  <c r="U58" i="22"/>
  <c r="Q54" i="22"/>
  <c r="U42" i="22"/>
  <c r="Q42" i="22"/>
  <c r="Q69" i="22"/>
  <c r="P77" i="22"/>
  <c r="Q77" i="22"/>
  <c r="P78" i="22"/>
  <c r="Q78" i="22"/>
  <c r="P79" i="22"/>
  <c r="Q79" i="22"/>
  <c r="P110" i="22"/>
  <c r="Q36" i="22"/>
  <c r="Q49" i="22"/>
  <c r="Q66" i="22"/>
  <c r="U66" i="22"/>
  <c r="Q31" i="22"/>
  <c r="Q38" i="22"/>
  <c r="Q61" i="22"/>
  <c r="U107" i="22"/>
  <c r="P107" i="22"/>
  <c r="Q88" i="22"/>
  <c r="U83" i="22"/>
  <c r="U91" i="22"/>
  <c r="Q37" i="22"/>
  <c r="Q50" i="22"/>
  <c r="P30" i="22"/>
  <c r="P94" i="22"/>
  <c r="U38" i="22"/>
  <c r="Q52" i="22"/>
  <c r="P56" i="22"/>
  <c r="P41" i="22"/>
  <c r="P39" i="22"/>
  <c r="P65" i="22"/>
  <c r="Q91" i="22"/>
  <c r="P93" i="22"/>
  <c r="P35" i="22"/>
  <c r="Q35" i="22"/>
  <c r="Q40" i="22"/>
  <c r="P40" i="22"/>
  <c r="Q109" i="22"/>
  <c r="U109" i="22"/>
  <c r="P109" i="22"/>
  <c r="P80" i="22"/>
  <c r="P92" i="22"/>
  <c r="Q57" i="22"/>
  <c r="U57" i="22"/>
  <c r="P57" i="22"/>
  <c r="U33" i="22"/>
  <c r="Q105" i="22"/>
  <c r="U105" i="22"/>
  <c r="P105" i="22"/>
  <c r="P90" i="22"/>
  <c r="U90" i="22"/>
  <c r="Q90" i="22"/>
  <c r="U106" i="22"/>
  <c r="Q108" i="22"/>
  <c r="P43" i="22"/>
  <c r="U43" i="22"/>
  <c r="Q43" i="22"/>
  <c r="P60" i="22"/>
  <c r="Q60" i="22"/>
  <c r="P71" i="22"/>
  <c r="U71" i="22"/>
  <c r="Q71" i="22"/>
  <c r="Q89" i="22"/>
  <c r="Q81" i="22"/>
  <c r="P97" i="22"/>
  <c r="Q32" i="22"/>
  <c r="U63" i="22"/>
  <c r="U95" i="22"/>
  <c r="U55" i="22"/>
  <c r="P98" i="22"/>
  <c r="U98" i="22"/>
  <c r="Q98" i="22"/>
  <c r="Q59" i="22"/>
  <c r="P59" i="22"/>
  <c r="Q87" i="22"/>
  <c r="P87" i="22"/>
  <c r="U87" i="22"/>
  <c r="P34" i="22"/>
  <c r="U73" i="22"/>
  <c r="P82" i="22"/>
  <c r="U82" i="22"/>
  <c r="Q82" i="22"/>
  <c r="Q48" i="22"/>
  <c r="P48" i="22"/>
  <c r="P104" i="22"/>
  <c r="Q104" i="22"/>
  <c r="W36" i="18"/>
  <c r="W35" i="18"/>
  <c r="W34" i="18"/>
  <c r="W33" i="18"/>
  <c r="W32" i="18"/>
  <c r="O42" i="18"/>
  <c r="G15" i="21"/>
  <c r="G13" i="21"/>
  <c r="G10" i="21"/>
  <c r="G12" i="21"/>
  <c r="G11" i="21"/>
  <c r="W31" i="18"/>
  <c r="W40" i="21"/>
  <c r="AB10" i="21"/>
  <c r="B17" i="18"/>
  <c r="B14" i="18"/>
  <c r="B16" i="18"/>
  <c r="B15" i="18"/>
  <c r="B13" i="18"/>
  <c r="BD40" i="21" l="1"/>
  <c r="BH39" i="21"/>
  <c r="BF39" i="21"/>
  <c r="AS34" i="21"/>
  <c r="P33" i="22"/>
  <c r="Q75" i="22"/>
  <c r="Q33" i="22"/>
  <c r="Q44" i="22"/>
  <c r="AQ35" i="21"/>
  <c r="Q53" i="22"/>
  <c r="W30" i="18"/>
  <c r="P76" i="22"/>
  <c r="P45" i="22"/>
  <c r="U64" i="22"/>
  <c r="Q95" i="22"/>
  <c r="Q47" i="22"/>
  <c r="P73" i="22"/>
  <c r="Q106" i="22"/>
  <c r="Q45" i="22"/>
  <c r="Q84" i="22"/>
  <c r="Q96" i="22"/>
  <c r="P74" i="22"/>
  <c r="W28" i="18"/>
  <c r="N28" i="18" s="1"/>
  <c r="Q67" i="22"/>
  <c r="Q70" i="22"/>
  <c r="Q85" i="22"/>
  <c r="N21" i="22"/>
  <c r="J21" i="22"/>
  <c r="C13" i="18" s="1"/>
  <c r="K21" i="22"/>
  <c r="C14" i="18" s="1"/>
  <c r="X14" i="18" s="1"/>
  <c r="X21" i="18" s="1"/>
  <c r="W29" i="18"/>
  <c r="N29" i="18" s="1"/>
  <c r="M16" i="22"/>
  <c r="Q72" i="22"/>
  <c r="Q100" i="22"/>
  <c r="Q68" i="22"/>
  <c r="P83" i="22"/>
  <c r="U86" i="22"/>
  <c r="P70" i="22"/>
  <c r="Q86" i="22"/>
  <c r="Q46" i="22"/>
  <c r="U46" i="22"/>
  <c r="P85" i="22"/>
  <c r="Q51" i="22"/>
  <c r="M14" i="22"/>
  <c r="P62" i="22"/>
  <c r="Q63" i="22"/>
  <c r="U96" i="22"/>
  <c r="U84" i="22"/>
  <c r="Q55" i="22"/>
  <c r="Q74" i="22"/>
  <c r="Q62" i="22"/>
  <c r="Q64" i="22"/>
  <c r="P68" i="22"/>
  <c r="U53" i="22"/>
  <c r="U72" i="22"/>
  <c r="U44" i="22"/>
  <c r="P64" i="22"/>
  <c r="U76" i="22"/>
  <c r="O40" i="18"/>
  <c r="O38" i="18"/>
  <c r="O39" i="18"/>
  <c r="X13" i="18" l="1"/>
  <c r="BD41" i="21"/>
  <c r="BH40" i="21"/>
  <c r="BF40" i="21"/>
  <c r="AS35" i="21"/>
  <c r="AQ36" i="21"/>
  <c r="M21" i="22"/>
  <c r="C21" i="18"/>
  <c r="X34" i="18"/>
  <c r="X35" i="18"/>
  <c r="X32" i="18"/>
  <c r="X36" i="18"/>
  <c r="X33" i="18"/>
  <c r="C19" i="18"/>
  <c r="X20" i="18" l="1"/>
  <c r="X18" i="18"/>
  <c r="C18" i="18" s="1"/>
  <c r="BF41" i="21"/>
  <c r="BD42" i="21"/>
  <c r="BH41" i="21"/>
  <c r="T33" i="18"/>
  <c r="T32" i="18"/>
  <c r="T34" i="18"/>
  <c r="AS36" i="21"/>
  <c r="AQ37" i="21"/>
  <c r="X30" i="18"/>
  <c r="T30" i="18" s="1"/>
  <c r="X31" i="18"/>
  <c r="T31" i="18" s="1"/>
  <c r="X29" i="18"/>
  <c r="X28" i="18"/>
  <c r="S28" i="18" s="1"/>
  <c r="C20" i="18"/>
  <c r="T36" i="18" l="1"/>
  <c r="T35" i="18"/>
  <c r="S29" i="18"/>
  <c r="Q29" i="18"/>
  <c r="BF42" i="21"/>
  <c r="BH42" i="21"/>
  <c r="BD43" i="21"/>
  <c r="AS37" i="21"/>
  <c r="AQ38" i="21"/>
  <c r="T29" i="18"/>
  <c r="R29" i="18"/>
  <c r="R28" i="18"/>
  <c r="T28" i="18"/>
  <c r="Q28" i="18"/>
  <c r="BD44" i="21" l="1"/>
  <c r="BH43" i="21"/>
  <c r="BF43" i="21"/>
  <c r="AS38" i="21"/>
  <c r="AQ39" i="21"/>
  <c r="M27" i="11"/>
  <c r="M31" i="11" s="1"/>
  <c r="BD45" i="21" l="1"/>
  <c r="BH44" i="21"/>
  <c r="BF44" i="21"/>
  <c r="AS39" i="21"/>
  <c r="AQ40" i="21"/>
  <c r="BF45" i="21" l="1"/>
  <c r="BH45" i="21"/>
  <c r="BD46" i="21"/>
  <c r="AS40" i="21"/>
  <c r="AQ41" i="21"/>
  <c r="W27" i="18"/>
  <c r="BD47" i="21" l="1"/>
  <c r="BH46" i="21"/>
  <c r="BF46" i="21"/>
  <c r="AS41" i="21"/>
  <c r="AQ42" i="21"/>
  <c r="N27" i="18"/>
  <c r="X27" i="18" s="1"/>
  <c r="BD48" i="21" l="1"/>
  <c r="BH47" i="21"/>
  <c r="BF47" i="21"/>
  <c r="S27" i="18"/>
  <c r="X42" i="18"/>
  <c r="N42" i="18" s="1"/>
  <c r="X40" i="18"/>
  <c r="N40" i="18" s="1"/>
  <c r="W40" i="18"/>
  <c r="W42" i="18"/>
  <c r="AS42" i="21"/>
  <c r="W39" i="18"/>
  <c r="X39" i="18"/>
  <c r="N39" i="18" s="1"/>
  <c r="AQ43" i="21"/>
  <c r="R27" i="18"/>
  <c r="R38" i="18" s="1"/>
  <c r="R39" i="18" s="1"/>
  <c r="R40" i="18" s="1"/>
  <c r="R42" i="18" s="1"/>
  <c r="Q27" i="18"/>
  <c r="Q38" i="18" s="1"/>
  <c r="Q39" i="18" s="1"/>
  <c r="Q40" i="18" s="1"/>
  <c r="Q42" i="18" s="1"/>
  <c r="T27" i="18"/>
  <c r="T38" i="18" s="1"/>
  <c r="BQ2" i="21" s="1"/>
  <c r="X38" i="18"/>
  <c r="N38" i="18" s="1"/>
  <c r="W38" i="18"/>
  <c r="S38" i="18" l="1"/>
  <c r="S39" i="18" s="1"/>
  <c r="S40" i="18" s="1"/>
  <c r="S42" i="18" s="1"/>
  <c r="BQ6" i="21"/>
  <c r="BQ7" i="21"/>
  <c r="BQ5" i="21"/>
  <c r="BH48" i="21"/>
  <c r="BF48" i="21"/>
  <c r="BD49" i="21"/>
  <c r="AS43" i="21"/>
  <c r="AQ44" i="21"/>
  <c r="H11" i="24"/>
  <c r="T39" i="18"/>
  <c r="BR2" i="21" s="1"/>
  <c r="BR6" i="21" l="1"/>
  <c r="BR7" i="21"/>
  <c r="BV7" i="21" s="1"/>
  <c r="BR5" i="21"/>
  <c r="BV5" i="21" s="1"/>
  <c r="BV6" i="21"/>
  <c r="BD50" i="21"/>
  <c r="BH49" i="21"/>
  <c r="BF49" i="21"/>
  <c r="BQ3" i="21"/>
  <c r="L38" i="18" s="1"/>
  <c r="AS44" i="21"/>
  <c r="AQ45" i="21"/>
  <c r="T40" i="18"/>
  <c r="BS2" i="21" s="1"/>
  <c r="H13" i="24"/>
  <c r="BV3" i="21" l="1"/>
  <c r="M42" i="18" s="1"/>
  <c r="BS6" i="21"/>
  <c r="BU6" i="21" s="1"/>
  <c r="BS7" i="21"/>
  <c r="BS5" i="21"/>
  <c r="BS3" i="21" s="1"/>
  <c r="L40" i="18" s="1"/>
  <c r="BF50" i="21"/>
  <c r="BD51" i="21"/>
  <c r="BH50" i="21"/>
  <c r="BR3" i="21"/>
  <c r="L39" i="18" s="1"/>
  <c r="AS45" i="21"/>
  <c r="AQ46" i="21"/>
  <c r="H15" i="24"/>
  <c r="T42" i="18"/>
  <c r="BU2" i="21" s="1"/>
  <c r="BU7" i="21" l="1"/>
  <c r="BD52" i="21"/>
  <c r="BH51" i="21"/>
  <c r="BF51" i="21"/>
  <c r="BU5" i="21"/>
  <c r="AS46" i="21"/>
  <c r="AQ47" i="21"/>
  <c r="BU3" i="21" l="1"/>
  <c r="L42" i="18" s="1"/>
  <c r="G17" i="24" s="1"/>
  <c r="BD53" i="21"/>
  <c r="BH52" i="21"/>
  <c r="BF52" i="21"/>
  <c r="AS47" i="21"/>
  <c r="AQ48" i="21"/>
  <c r="H17" i="24"/>
  <c r="BF53" i="21" l="1"/>
  <c r="BH53" i="21"/>
  <c r="BD54" i="21"/>
  <c r="AS48" i="21"/>
  <c r="AQ49" i="21"/>
  <c r="BD55" i="21" l="1"/>
  <c r="BH54" i="21"/>
  <c r="BF54" i="21"/>
  <c r="AS49" i="21"/>
  <c r="AQ50" i="21"/>
  <c r="BF55" i="21" l="1"/>
  <c r="BH55" i="21"/>
  <c r="BD56" i="21"/>
  <c r="AS50" i="21"/>
  <c r="AQ51" i="21"/>
  <c r="BD57" i="21" l="1"/>
  <c r="BH56" i="21"/>
  <c r="BF56" i="21"/>
  <c r="AS51" i="21"/>
  <c r="AQ52" i="21"/>
  <c r="BF57" i="21" l="1"/>
  <c r="BD58" i="21"/>
  <c r="BH57" i="21"/>
  <c r="AS52" i="21"/>
  <c r="AQ53" i="21"/>
  <c r="BD59" i="21" l="1"/>
  <c r="BH58" i="21"/>
  <c r="BF58" i="21"/>
  <c r="AS53" i="21"/>
  <c r="BF59" i="21" l="1"/>
  <c r="BH59" i="21"/>
  <c r="BD60" i="21"/>
  <c r="BD61" i="21" l="1"/>
  <c r="BH60" i="21"/>
  <c r="BF60" i="21"/>
  <c r="BF61" i="21" l="1"/>
  <c r="BH61" i="21"/>
  <c r="BD62" i="21"/>
  <c r="BH62" i="21" l="1"/>
  <c r="BF62" i="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<sst xmlns="http://schemas.openxmlformats.org/spreadsheetml/2006/main" count="508" uniqueCount="360">
  <si>
    <t>Step 1.</t>
  </si>
  <si>
    <t xml:space="preserve">Step 4. </t>
  </si>
  <si>
    <t>A</t>
  </si>
  <si>
    <t xml:space="preserve">Step 3. </t>
  </si>
  <si>
    <t>UOM</t>
  </si>
  <si>
    <t>IP = 1, SI = 2</t>
  </si>
  <si>
    <t>CONCATENATE</t>
  </si>
  <si>
    <t>Note: This calculator is for use with Excel for Mac 2011 and Excel 2007 or later.</t>
  </si>
  <si>
    <t>Unit of measurement</t>
  </si>
  <si>
    <t>Note: This selection must match the unit of measurement chosen during project registration.</t>
  </si>
  <si>
    <t>U.S. Green Building Council</t>
  </si>
  <si>
    <t>All Rights Reserved</t>
  </si>
  <si>
    <r>
      <rPr>
        <b/>
        <sz val="16"/>
        <rFont val="Arial"/>
        <family val="2"/>
      </rPr>
      <t xml:space="preserve">Renewable Energy Calculator
</t>
    </r>
    <r>
      <rPr>
        <sz val="9"/>
        <rFont val="Arial"/>
        <family val="2"/>
      </rPr>
      <t>LEED v4.1 EA Credit Renewable Energy</t>
    </r>
  </si>
  <si>
    <t>Complete the Renewable Energy tab.</t>
  </si>
  <si>
    <t>Renewable Energy</t>
  </si>
  <si>
    <t>Renewable Location</t>
  </si>
  <si>
    <t>Renewable Generator Location</t>
  </si>
  <si>
    <t>Procurement Type</t>
  </si>
  <si>
    <t>Owned</t>
  </si>
  <si>
    <t>Leased</t>
  </si>
  <si>
    <t>Feed-in Tariff</t>
  </si>
  <si>
    <t>Other - Describe</t>
  </si>
  <si>
    <t>Unbundled: Green-e EACs</t>
  </si>
  <si>
    <t>Utility 100% Green Power Tariff</t>
  </si>
  <si>
    <t>Photovoltaic</t>
  </si>
  <si>
    <t>Wind</t>
  </si>
  <si>
    <t>Tier 1</t>
  </si>
  <si>
    <t>Tier 2</t>
  </si>
  <si>
    <t>Tier 3</t>
  </si>
  <si>
    <t>x</t>
  </si>
  <si>
    <t>Low-impact hydropower*</t>
  </si>
  <si>
    <t>Electricity</t>
  </si>
  <si>
    <t>Solar thermal</t>
  </si>
  <si>
    <t>Ocean-based (wave/tidal)*</t>
  </si>
  <si>
    <t>Off-site renewable electricity produced by generation asset(s) built within the last 5 years or contracted to be operational within 2 years of building occupancy</t>
  </si>
  <si>
    <t>Off-site renewable electricity that is Green-e Energy certified or equivalent or captured bio-methane</t>
  </si>
  <si>
    <t>On-site renewable generation, environmental attributes (e.g. RECs) retained</t>
  </si>
  <si>
    <t>Energy Generation Type</t>
  </si>
  <si>
    <t>Thermal</t>
  </si>
  <si>
    <t>Offset Energy type</t>
  </si>
  <si>
    <t>District Cooling</t>
  </si>
  <si>
    <t>District Heating</t>
  </si>
  <si>
    <t>Natural Gas</t>
  </si>
  <si>
    <t>Fossil Fuel</t>
  </si>
  <si>
    <t>Other</t>
  </si>
  <si>
    <t>Proposed Site Energy</t>
  </si>
  <si>
    <t>(per energy source)</t>
  </si>
  <si>
    <t>Units</t>
  </si>
  <si>
    <t>Total</t>
  </si>
  <si>
    <t>Energy Consumption Units</t>
  </si>
  <si>
    <t>kWh</t>
  </si>
  <si>
    <t>MWh</t>
  </si>
  <si>
    <t>kBtu</t>
  </si>
  <si>
    <t>therm</t>
  </si>
  <si>
    <t>convert to kWh</t>
  </si>
  <si>
    <t>Btu x 10^6</t>
  </si>
  <si>
    <t>MJ</t>
  </si>
  <si>
    <t>Ton Hours</t>
  </si>
  <si>
    <t>Total Electricity + District Energy</t>
  </si>
  <si>
    <t>Total Fossil Fuel + Other</t>
  </si>
  <si>
    <t>Energy Type</t>
  </si>
  <si>
    <t>On-site agricultural crops or waste - electric</t>
  </si>
  <si>
    <t>On-site animal or organic waste - electric</t>
  </si>
  <si>
    <t>On-site landfill gas - electric</t>
  </si>
  <si>
    <t>Geothermal heating (not geoexchange)</t>
  </si>
  <si>
    <t>Geothermal electric</t>
  </si>
  <si>
    <t>Generation Type</t>
  </si>
  <si>
    <t>On-site untreated wood waste - thermal*</t>
  </si>
  <si>
    <t>On-site agricultural crops or waste - thermal*</t>
  </si>
  <si>
    <t>On-site animal or organic waste - thermal*</t>
  </si>
  <si>
    <t>On-site landfill gas - thermal*</t>
  </si>
  <si>
    <t>On-site untreated wood waste - electric</t>
  </si>
  <si>
    <t>Tier 1 On-site renewable sources</t>
  </si>
  <si>
    <t>Tier 2 Renewable Electricity Generation Sources</t>
  </si>
  <si>
    <t>Other - Decribe*</t>
  </si>
  <si>
    <t>Tier 3 Renewable Generation Sources</t>
  </si>
  <si>
    <t>Solar thermal electricity</t>
  </si>
  <si>
    <t>Geothermal electricity*</t>
  </si>
  <si>
    <t>Biofuel electricity*</t>
  </si>
  <si>
    <t>Recovered bio-methane*</t>
  </si>
  <si>
    <t>Renewable Energy Category</t>
  </si>
  <si>
    <t>LEED Renewable Category</t>
  </si>
  <si>
    <t>Tier 1. On-site renewable energy</t>
  </si>
  <si>
    <t>Tier 2. New Off-site renewable electricity</t>
  </si>
  <si>
    <t>Tier 3. Off-site renewable energy</t>
  </si>
  <si>
    <t>Renewable Energy Type</t>
  </si>
  <si>
    <t>Renewable Energy Procurement Type</t>
  </si>
  <si>
    <t>Length of Contract (Years)</t>
  </si>
  <si>
    <t>One-time purchase</t>
  </si>
  <si>
    <t>more than 10</t>
  </si>
  <si>
    <t>N/A (owned)</t>
  </si>
  <si>
    <r>
      <t xml:space="preserve">Annual Renewable Generation
</t>
    </r>
    <r>
      <rPr>
        <i/>
        <sz val="10"/>
        <color rgb="FF000000"/>
        <rFont val="Arial"/>
        <family val="2"/>
      </rPr>
      <t>(for a one-time purchase enter total purchase amount)</t>
    </r>
  </si>
  <si>
    <t>Annual Renewable Generation (Site Energy)</t>
  </si>
  <si>
    <t>Qualifying Annual Renewable Generation with EACs retained</t>
  </si>
  <si>
    <t>Length of Contract
(Years)</t>
  </si>
  <si>
    <t>Units of Energy</t>
  </si>
  <si>
    <t>Green-e certified electricity mix</t>
  </si>
  <si>
    <t>All Renewabe Sources</t>
  </si>
  <si>
    <t>Other-Describe</t>
  </si>
  <si>
    <t>Unbundled: Green-e equivalent EACs*</t>
  </si>
  <si>
    <t>Virtual Power Purchase Agreement (VPPA)</t>
  </si>
  <si>
    <t>Power Purchase Agreement (PPA)</t>
  </si>
  <si>
    <t>Generator
"New Date" 
(or date contracted / designed to come online)</t>
  </si>
  <si>
    <t>Default Electricity</t>
  </si>
  <si>
    <t>Default Fossil Fuel</t>
  </si>
  <si>
    <t>Default District Heating</t>
  </si>
  <si>
    <t>Default District Cooling</t>
  </si>
  <si>
    <t>Default Total</t>
  </si>
  <si>
    <t>Total Tier 1: On-site renewable energy</t>
  </si>
  <si>
    <t>Total Tier 2. New Off-site renewable electricity</t>
  </si>
  <si>
    <t>Total Tier 3. Off-site renewable</t>
  </si>
  <si>
    <t>Energy Offset Type</t>
  </si>
  <si>
    <t>Annual Renewable Percent of Site Energy</t>
  </si>
  <si>
    <t>Total District Energy</t>
  </si>
  <si>
    <t>Percent of Electricity</t>
  </si>
  <si>
    <t>Percent of District Energy</t>
  </si>
  <si>
    <t>Percent of Fossil Fuel + Other</t>
  </si>
  <si>
    <t>No</t>
  </si>
  <si>
    <t>kWh - Qualifying Annual</t>
  </si>
  <si>
    <t>kWh - Annual with RECs retained</t>
  </si>
  <si>
    <t>Qualifying Percent of Total Annual Site Energy</t>
  </si>
  <si>
    <t xml:space="preserve">  Notes:</t>
  </si>
  <si>
    <t xml:space="preserve">  All environmental attributes associated with renewable energy generation must be retired on behalf of the LEED project in order for the renewable energy procurement to contribute to credit achievement.</t>
  </si>
  <si>
    <t xml:space="preserve">  Tier 1. On-site renewable energy</t>
  </si>
  <si>
    <t xml:space="preserve">  Tier 2. New Off-site renewable electricity</t>
  </si>
  <si>
    <t>Quantity of annual renewable attributes used to satisfy Renewable Portfolio Standard (RPS) / mandatory renewable capacity policies. (0 if N/A)</t>
  </si>
  <si>
    <t>On site</t>
  </si>
  <si>
    <t>On campus</t>
  </si>
  <si>
    <t>Same geographical region</t>
  </si>
  <si>
    <t>same country</t>
  </si>
  <si>
    <t>RENEWABLE ENERGY GENERATION:</t>
  </si>
  <si>
    <t xml:space="preserve">      where Contract Length is capped at ten years, and is considered to be one year for the portion of annual renewable generation that is NOT Green-e certified or equivalent AND exceeds annual electricity use.</t>
  </si>
  <si>
    <t xml:space="preserve">  c. If the project shares on-site renewable sources with other buildings on a campus, and/or is located outside of the project boundary on a contiguous campus sharing ownership with the project owner, </t>
  </si>
  <si>
    <t xml:space="preserve">     upload signed confirmation from the building owner or owner's representative demonstrating the dedicated allocation to the project building.</t>
  </si>
  <si>
    <t xml:space="preserve">  b. All renewable combustion sources (agricultural crops, bio-fuel, landfill gas, etc.) must be both captured (harvested) and used on-site to qualify as a Tier 1 renewable energy source.</t>
  </si>
  <si>
    <t xml:space="preserve">  a.  If one-time purchase and delivery of EACs exceeds 100% of the project’s annual electricity use, Green-e certification or equivalent is required.</t>
  </si>
  <si>
    <t xml:space="preserve">  b. Age of the generation asset(s) is assessed at the beginning of the contract, and the generation asset(s) retain these attributes for the duration of the contract or lease term.</t>
  </si>
  <si>
    <t xml:space="preserve">  c. Qualifying annual renewable generation is calculated as [Annual Renewable Generation - Quantity of annual renewable attributes used to satisfy RPS] * 10 years / [Contract Length]</t>
  </si>
  <si>
    <t xml:space="preserve">Step 2. </t>
  </si>
  <si>
    <t xml:space="preserve">       - Renewable resources are from projects that have come online within the last fifteen years
</t>
  </si>
  <si>
    <t xml:space="preserve">       - Verifiable chain of custody</t>
  </si>
  <si>
    <t xml:space="preserve">      - Mechanism to prevent double-counting</t>
  </si>
  <si>
    <t xml:space="preserve">  Green-e equivalency (Tier 3 procurement, and Tier 2 procurement exceeding 100% of annual electricity + district energy)</t>
  </si>
  <si>
    <t xml:space="preserve">  Projects not using Green-e certified products must demonstrate the alternative’s equivalency to the quality standards established by USGBC. The EACs retired on </t>
  </si>
  <si>
    <t xml:space="preserve">  behalf of the LEED project must be certified under an eco-label developed by an independent organization with transparent accounting process</t>
  </si>
  <si>
    <t xml:space="preserve">  Tier 2 and Tier 3: Off-site renewable energy</t>
  </si>
  <si>
    <t xml:space="preserve">  Off-site renewable energy must be generated by renewable electricity projects located in the same country or geographical region where the LEED project is located.</t>
  </si>
  <si>
    <t xml:space="preserve">  d. Tier 2 new off-site renewable electricity may only be applied to project electricity use or district energy use. Therefore, percent of annual electricity and percent of District Energy are limited to 100%, </t>
  </si>
  <si>
    <t xml:space="preserve">      and qualifying percent of total annual site energy will always be less than 100% if project site energy use includes Fossil Fuel or Other.</t>
  </si>
  <si>
    <t xml:space="preserve">If the project has an energy model for EAp Minimum Energy Performance, enter the total proposed annual site energy consumption per energy type (with exceptional calculation method) </t>
  </si>
  <si>
    <t>from the LEED v4.1 Minimum Energy Performance Calculator (MEPC) Table 12.10.</t>
  </si>
  <si>
    <t>Buildings with non-electric sources serving project (e.g. heating, water heating, and/or cooking)</t>
  </si>
  <si>
    <t>All-Electric Buildings</t>
  </si>
  <si>
    <t>IP Units</t>
  </si>
  <si>
    <t>SI Units</t>
  </si>
  <si>
    <t>Source EUI (kBtu/ft2)</t>
  </si>
  <si>
    <t>Site EUI (kBtu/ft2)</t>
  </si>
  <si>
    <t>Electricity (kBtu/ft2)</t>
  </si>
  <si>
    <t>Natural Gas (kBtu/ft2)</t>
  </si>
  <si>
    <t>Source EUI (kWh/m2)</t>
  </si>
  <si>
    <t>Site EUI (kWh/m2)</t>
  </si>
  <si>
    <t>Electricity (kWh/m2)</t>
  </si>
  <si>
    <t>Natural Gas (kWh/m2)</t>
  </si>
  <si>
    <t>Site Energy - Electricity (kWh/ft2)</t>
  </si>
  <si>
    <t>% Electricity</t>
  </si>
  <si>
    <t>Banking Financial Services</t>
  </si>
  <si>
    <t>Bank Branch</t>
  </si>
  <si>
    <t>Financial Office</t>
  </si>
  <si>
    <t>Education</t>
  </si>
  <si>
    <t>Adult Education</t>
  </si>
  <si>
    <t>K-12 School</t>
  </si>
  <si>
    <t>Vocational School</t>
  </si>
  <si>
    <t>Other - Education</t>
  </si>
  <si>
    <t>Entertainment / Public Assembly</t>
  </si>
  <si>
    <t>Convention Center</t>
  </si>
  <si>
    <t>Movie Theater</t>
  </si>
  <si>
    <t>Museum</t>
  </si>
  <si>
    <t>Performing Arts</t>
  </si>
  <si>
    <t>Stadium</t>
  </si>
  <si>
    <t>Recreation - Entertainment</t>
  </si>
  <si>
    <t>Bowling Alley</t>
  </si>
  <si>
    <t>Roller Rink</t>
  </si>
  <si>
    <t>Swimming Pool</t>
  </si>
  <si>
    <t>Other-Recreation</t>
  </si>
  <si>
    <t>Food Sales and Service</t>
  </si>
  <si>
    <t>Convenience Store</t>
  </si>
  <si>
    <t>Fast Food Restaurant</t>
  </si>
  <si>
    <t>Restaurant</t>
  </si>
  <si>
    <t>Other - Food Sales</t>
  </si>
  <si>
    <t>Other - Food Service</t>
  </si>
  <si>
    <t>Healthcare</t>
  </si>
  <si>
    <t>Ambulatory Surgical Center</t>
  </si>
  <si>
    <t>Medical Office</t>
  </si>
  <si>
    <t>Residential Care Facility</t>
  </si>
  <si>
    <t>Senior Care Community</t>
  </si>
  <si>
    <t>Lodging/Residential</t>
  </si>
  <si>
    <t>Barracks</t>
  </si>
  <si>
    <t>Hotel</t>
  </si>
  <si>
    <t>Multifamily Housing</t>
  </si>
  <si>
    <t>Office</t>
  </si>
  <si>
    <t>Veterinary Office</t>
  </si>
  <si>
    <t>Public Services</t>
  </si>
  <si>
    <t>Courthouse</t>
  </si>
  <si>
    <t>Fire Station</t>
  </si>
  <si>
    <t>Library</t>
  </si>
  <si>
    <t>Police Station</t>
  </si>
  <si>
    <t>Other - Public Services</t>
  </si>
  <si>
    <t>Religious Worship</t>
  </si>
  <si>
    <t>Worship Facility</t>
  </si>
  <si>
    <t>Retail</t>
  </si>
  <si>
    <t>Automotive Dealership</t>
  </si>
  <si>
    <t>Enclosed Mall</t>
  </si>
  <si>
    <t>Mall - Lifestyle Center</t>
  </si>
  <si>
    <t>Strip Mall</t>
  </si>
  <si>
    <t>Other - Mall</t>
  </si>
  <si>
    <t>Retail Store</t>
  </si>
  <si>
    <t>Technology / Science</t>
  </si>
  <si>
    <t>Laboratory</t>
  </si>
  <si>
    <t>Other - Technology Science</t>
  </si>
  <si>
    <t>Services</t>
  </si>
  <si>
    <t>Other-Services</t>
  </si>
  <si>
    <t>Utility</t>
  </si>
  <si>
    <t>Other - Utility</t>
  </si>
  <si>
    <t>Warehouse/Storate</t>
  </si>
  <si>
    <t>Self-storage Facility</t>
  </si>
  <si>
    <t>Non-refrigerated Warehouse</t>
  </si>
  <si>
    <t>Refrigerated Warehouse</t>
  </si>
  <si>
    <t>Source-to-Site Ratios</t>
  </si>
  <si>
    <t>Electricity (Grid Purchase)</t>
  </si>
  <si>
    <t>Electricity - On-site Wind or Solar</t>
  </si>
  <si>
    <t>ft2 to m2</t>
  </si>
  <si>
    <t>kBtu to kWh</t>
  </si>
  <si>
    <t>kbtu/ft2 to kWh/m2</t>
  </si>
  <si>
    <t xml:space="preserve">ENERGY STAR PortfolioManager Technical Reference - U.S. Energy Use Intensity by Property Type </t>
  </si>
  <si>
    <t>Electricity and natural gas were calculated based on total source energy and total site energy reported in the ENERGY STAR Portfolio Manager Technical Reference, and source-to-site ratios of 2.80 for electricity and 1.05 for natural gas.</t>
  </si>
  <si>
    <t>SITE ENERGY DETERMINATION FOR BUILDINGS WITHOUT ENERGY MODELS</t>
  </si>
  <si>
    <t>Area</t>
  </si>
  <si>
    <t xml:space="preserve">     Is the building all-electric (no combustion sources for heating, water heating, cooking, etc. in the project space and base building)?</t>
  </si>
  <si>
    <t>Site Energy Use Intensity</t>
  </si>
  <si>
    <t>Annual Site Energy Use</t>
  </si>
  <si>
    <t>Other - Entertainment</t>
  </si>
  <si>
    <t>Source for Total Source EUI and Site EUI (with non-electric sources): https://portfoliomanager.energystar.gov/pdf/reference/US%20National%20Median%20Table.pdf</t>
  </si>
  <si>
    <t>Hospital_General Medical Surgical</t>
  </si>
  <si>
    <t>Hospital_Other_Specialty</t>
  </si>
  <si>
    <t>Personal Services_Health_Beauty_Dry Cleaning</t>
  </si>
  <si>
    <t>Repair Services_Vehicle, Shoe, Locksmith, etc.</t>
  </si>
  <si>
    <t>College_University</t>
  </si>
  <si>
    <t>Pre-school _ Daycare</t>
  </si>
  <si>
    <t>Social_Meeting Hall</t>
  </si>
  <si>
    <t>Bar_Nightclub</t>
  </si>
  <si>
    <t>Ice _ Curling Rink</t>
  </si>
  <si>
    <t>Other - Restaurant _ Bar</t>
  </si>
  <si>
    <t>Supermarket_Grocery Store</t>
  </si>
  <si>
    <t>Wholesale Club _ Supercenter</t>
  </si>
  <si>
    <t>Outpatient Rehabilitation_Physical Therapy</t>
  </si>
  <si>
    <t>Urgent Care _ Clinic _ Other Outpatient</t>
  </si>
  <si>
    <t>Prison_Incarceration</t>
  </si>
  <si>
    <t>Residence Hall_Dormitory</t>
  </si>
  <si>
    <t>Other - Lodging _ Residential</t>
  </si>
  <si>
    <t>Mailing Center _ Post Office</t>
  </si>
  <si>
    <t>Prison _ Incarceration</t>
  </si>
  <si>
    <t>Transportation Terminal  _ Station</t>
  </si>
  <si>
    <t>Energy_Power Station</t>
  </si>
  <si>
    <t>Warehouse _ Distribution Center</t>
  </si>
  <si>
    <t>Total:</t>
  </si>
  <si>
    <t xml:space="preserve">If an energy model was not completed for EAp Minimum Energy Performance, </t>
  </si>
  <si>
    <t>complete the Site_Energy_No_Model tab.</t>
  </si>
  <si>
    <t>If the project has no energy model, complete the "Site_Energy_No_Model" tab, and then select "Default_Electricity_No_Model" and "Default_Fuel_No_Model" below.</t>
  </si>
  <si>
    <t xml:space="preserve">  Tier 3. Off-site renewable electricity</t>
  </si>
  <si>
    <t xml:space="preserve">       - Eligible renewable energy source (see below)</t>
  </si>
  <si>
    <t xml:space="preserve">      and qualifying percent of total annual site energy will be less than 100% if project site energy use includes Fossil Fuel or Other, and Tier 3 recovered bio-methane is not procured.</t>
  </si>
  <si>
    <t xml:space="preserve">     renew the renewable contract or engage in an alternate renewable energy contract for a total of ten years.</t>
  </si>
  <si>
    <t xml:space="preserve">       “captured bio-methane”. Captured bio-methane may only be applied to project fossil fuel, other, or district energy use. Therefore, percent of  fossil fuel use is limited to 100%, and qualifying percent</t>
  </si>
  <si>
    <t xml:space="preserve">        of total annual site energy will be less than 100% if renewable electricity is not procured.</t>
  </si>
  <si>
    <t xml:space="preserve">  b. Qualifying annual renewable generation is calculated as [Annual Renewable Generation - Quantity of annual renewable attributes used to satisfy RPS] * 10 years / [Contract Length]</t>
  </si>
  <si>
    <t xml:space="preserve">      where Contract Length is capped at ten years.</t>
  </si>
  <si>
    <t xml:space="preserve">  d. Tier 3 off-site renewable electricity may only be applied to project electricity use or district energy use. Therefore, percent of annual electricity and percent of District Energy are limited to 100%, </t>
  </si>
  <si>
    <t xml:space="preserve">  Eligible Renewable Electricity Sources</t>
  </si>
  <si>
    <t xml:space="preserve">  (https://www.green-e.org/docs/energy/framework/Green-e%20Framework%20for%20Renewable%20Energy%20Certification.pdf)</t>
  </si>
  <si>
    <r>
      <t xml:space="preserve">   </t>
    </r>
    <r>
      <rPr>
        <sz val="10"/>
        <color theme="1"/>
        <rFont val="Arial"/>
        <family val="2"/>
      </rPr>
      <t>1. Solar, including photovoltaic and solar thermal electric</t>
    </r>
  </si>
  <si>
    <r>
      <t xml:space="preserve">   </t>
    </r>
    <r>
      <rPr>
        <sz val="10"/>
        <color theme="1"/>
        <rFont val="Arial"/>
        <family val="2"/>
      </rPr>
      <t>2. Wind</t>
    </r>
  </si>
  <si>
    <r>
      <t xml:space="preserve">   </t>
    </r>
    <r>
      <rPr>
        <sz val="10"/>
        <color theme="1"/>
        <rFont val="Arial"/>
        <family val="2"/>
      </rPr>
      <t>4. Ocean-based energy captured through tial, wave, or ocean thermal energy conversion technologies (where located in an area with permitting processes specific to that resource)</t>
    </r>
  </si>
  <si>
    <r>
      <t xml:space="preserve">   </t>
    </r>
    <r>
      <rPr>
        <sz val="10"/>
        <color theme="1"/>
        <rFont val="Arial"/>
        <family val="2"/>
      </rPr>
      <t>5. Limited Hydropower</t>
    </r>
    <r>
      <rPr>
        <b/>
        <sz val="10"/>
        <color theme="1"/>
        <rFont val="Arial"/>
        <family val="2"/>
      </rPr>
      <t>:</t>
    </r>
  </si>
  <si>
    <r>
      <t xml:space="preserve">       - </t>
    </r>
    <r>
      <rPr>
        <sz val="10"/>
        <color theme="1"/>
        <rFont val="Arial"/>
        <family val="2"/>
      </rPr>
      <t>Not on an impoundment</t>
    </r>
  </si>
  <si>
    <r>
      <t xml:space="preserve">       - </t>
    </r>
    <r>
      <rPr>
        <sz val="10"/>
        <color theme="1"/>
        <rFont val="Arial"/>
        <family val="2"/>
      </rPr>
      <t xml:space="preserve">a turbine in a pipeline, irrigation canal, or other conduit used to create flow of water/hydrostatic pressure primarily for non-energy purposes such as transporting potable water, irrigation, </t>
    </r>
  </si>
  <si>
    <t xml:space="preserve">         or waste transport, not for creating energy storage</t>
  </si>
  <si>
    <r>
      <t xml:space="preserve">       - </t>
    </r>
    <r>
      <rPr>
        <sz val="10"/>
        <color theme="1"/>
        <rFont val="Arial"/>
        <family val="2"/>
      </rPr>
      <t xml:space="preserve">Note that Incremental capacity added to an impoundment that existed before the applicable New Date requires independent review for Green-e certification, and is typically NOT deemed a qualifying source. </t>
    </r>
  </si>
  <si>
    <r>
      <t xml:space="preserve">  </t>
    </r>
    <r>
      <rPr>
        <sz val="10"/>
        <color theme="1"/>
        <rFont val="Arial"/>
        <family val="2"/>
      </rPr>
      <t>Per the Green-e Framework for Renewable Energy Certification (Version 1.0), IIIA , eligible resource types are defined as:</t>
    </r>
  </si>
  <si>
    <t xml:space="preserve">   6. Electric generation from Solid, liquid, and gaseous forms of biomass shall NOT be deemed a qualifying source unless Green-e certified. Project-specific CIRs will be considered as exceptions if </t>
  </si>
  <si>
    <t xml:space="preserve">       the renewable energy is labeled by an eco-label, and Green-e criteria IIIA(6)a-g and (7) are documented as applicable.</t>
  </si>
  <si>
    <t xml:space="preserve">          Project-specific CIRs will be considered as exceptions if the hydropower is labeled by an eco-label and Green-e criteria above are documented.</t>
  </si>
  <si>
    <t xml:space="preserve">  c. For Tier 3 utility green tariff programs where a ten-year contract is not available, contract length may be entered as "10" if documentation is uploaded demonstrating that the project has an executed contract</t>
  </si>
  <si>
    <t xml:space="preserve">      for the maximum contract length available (with a minimum of one year), and a letter of commitment signed by a representative of the building owner is uploaded affirming that the project will continue to </t>
  </si>
  <si>
    <t>Select all building types present in the project, and enter the associated gross area per building type.</t>
  </si>
  <si>
    <t>Contract execution date</t>
  </si>
  <si>
    <t>Green-e Certified (or equivalent eco-label)?</t>
  </si>
  <si>
    <t>DD-Month-YY</t>
  </si>
  <si>
    <t>Site Energy - Electricity (kWh/m2)</t>
  </si>
  <si>
    <t xml:space="preserve">  and standards in place which address the following:</t>
  </si>
  <si>
    <t xml:space="preserve">  a.  Green-e certification or equivalent is required for electricity.</t>
  </si>
  <si>
    <r>
      <t xml:space="preserve">   </t>
    </r>
    <r>
      <rPr>
        <sz val="10"/>
        <color theme="1"/>
        <rFont val="Arial"/>
        <family val="2"/>
      </rPr>
      <t>3. Geothermal Electric Generation</t>
    </r>
    <r>
      <rPr>
        <b/>
        <sz val="10"/>
        <color theme="1"/>
        <rFont val="Arial"/>
        <family val="2"/>
      </rPr>
      <t xml:space="preserve"> </t>
    </r>
    <r>
      <rPr>
        <i/>
        <sz val="10"/>
        <color theme="1"/>
        <rFont val="Arial"/>
        <family val="2"/>
      </rPr>
      <t>(not geoexchange)</t>
    </r>
  </si>
  <si>
    <r>
      <t xml:space="preserve">       - </t>
    </r>
    <r>
      <rPr>
        <sz val="10"/>
        <color theme="1"/>
        <rFont val="Arial"/>
        <family val="2"/>
      </rPr>
      <t>Low Impact Hydropower Institute (LIHI) certified in U.S.</t>
    </r>
  </si>
  <si>
    <t xml:space="preserve">  Building Type(s)</t>
  </si>
  <si>
    <t>Upload the completed spreadsheet to LEED Online.  Complete any related summary fields in the LEED credit form with the results of the calculator, and upload all other required documentation.</t>
  </si>
  <si>
    <t>Note: All information on this tab is READ-ONLY. To edit, see previous tabs.</t>
  </si>
  <si>
    <t>Points</t>
  </si>
  <si>
    <t>Exemplary</t>
  </si>
  <si>
    <t xml:space="preserve">  a. Documentation for EAp Fundamental Commissioning must be uploaded demonstrating that the on-site renewable system has been installed and commissioned.</t>
  </si>
  <si>
    <t>Complete all fields of the table for all renewable energy sources allocated to the project.</t>
  </si>
  <si>
    <t>Tier 1: On-site renewable energy percent of annual project site energy use</t>
  </si>
  <si>
    <t>Tier 2. New Off-site renewable electricity percent of annual project site energy use</t>
  </si>
  <si>
    <t>PROJECT SITE ENERGY USE</t>
  </si>
  <si>
    <t>Summary for Design and Construction Rating Systems</t>
  </si>
  <si>
    <t>EA Credit Renewable Energy</t>
  </si>
  <si>
    <t>Tier 3. Off-site renewable percent of annual project site energy use</t>
  </si>
  <si>
    <t>Renewable electricity mix</t>
  </si>
  <si>
    <t xml:space="preserve">  e.  Captured bio-methane: Biogas from landfills, sewage treatment plants, and farm methane capture that is captured off-site and delivered to the LEED project for combustion on-site is considered Tier 3 </t>
  </si>
  <si>
    <r>
      <t xml:space="preserve">        </t>
    </r>
    <r>
      <rPr>
        <u/>
        <sz val="10"/>
        <color theme="1"/>
        <rFont val="Arial"/>
        <family val="2"/>
      </rPr>
      <t>Outside U.S. and Canada</t>
    </r>
  </si>
  <si>
    <r>
      <t xml:space="preserve">       - </t>
    </r>
    <r>
      <rPr>
        <sz val="10"/>
        <color theme="1"/>
        <rFont val="Arial"/>
        <family val="2"/>
      </rPr>
      <t>EcoLogo Certified in Canada</t>
    </r>
  </si>
  <si>
    <t>Points:</t>
  </si>
  <si>
    <t>IP units</t>
  </si>
  <si>
    <t xml:space="preserve">  e. To document credit for GHG Emissions reductions associated with Tier 2 Renewable Resources, EAc Optimize Energy Performance must be documented in LEED v4.1, or Pilot ACP EApc161: Electrification ACP: </t>
  </si>
  <si>
    <t xml:space="preserve">      Energy Simulation Performance Path, or v4 Pilot ACP EAPc111: Alternative Performance Rating Method, Case 2 or Case 3. Projects in the continental U.S. and other locations where hourly electric emissions factors </t>
  </si>
  <si>
    <t xml:space="preserve">      are available must model baseline and proposed building electric GHG emissions using the hourly GHG emission factors for the building's grid region, and must model avoided GHG emissions from Tier 2 off-site </t>
  </si>
  <si>
    <t xml:space="preserve">      renewable electricity using the hourly generation profile associated with the renewable asset and the hourly GHG emission factors for the renewable asset's grid region.  Optimize Energy Performance </t>
  </si>
  <si>
    <r>
      <t xml:space="preserve">     credit </t>
    </r>
    <r>
      <rPr>
        <b/>
        <u/>
        <sz val="10"/>
        <color theme="1"/>
        <rFont val="Arial"/>
        <family val="2"/>
      </rPr>
      <t>is not available</t>
    </r>
    <r>
      <rPr>
        <sz val="10"/>
        <color theme="1"/>
        <rFont val="Arial"/>
        <family val="2"/>
      </rPr>
      <t xml:space="preserve"> for Tier 2 renewable assets in the continental U.S. where identification of the renewable asset's grid region, and a reasonable estimate of the hourly generation profile is not specified in </t>
    </r>
  </si>
  <si>
    <t xml:space="preserve">     the documentation.</t>
  </si>
  <si>
    <t>NC Points</t>
  </si>
  <si>
    <t>ID+C Points</t>
  </si>
  <si>
    <t>Table 2. Points for CS</t>
  </si>
  <si>
    <t>Select the Rating System</t>
  </si>
  <si>
    <t>Rating System</t>
  </si>
  <si>
    <t>BD+C: New Construction</t>
  </si>
  <si>
    <t>BD+C: Core and Shell</t>
  </si>
  <si>
    <t>BD+C: Schools</t>
  </si>
  <si>
    <t>BD+C: Retail</t>
  </si>
  <si>
    <t>BD+C: Healthcare</t>
  </si>
  <si>
    <t>BD+C: Data Centers</t>
  </si>
  <si>
    <t>BD+C: Hospitality</t>
  </si>
  <si>
    <t>BD+C: Warehouses and Distribution</t>
  </si>
  <si>
    <t xml:space="preserve">ID+C: Retail </t>
  </si>
  <si>
    <t>ID+C: Commercial Interiors</t>
  </si>
  <si>
    <t>ID+C: Hospitality</t>
  </si>
  <si>
    <t>BDC</t>
  </si>
  <si>
    <t>CS</t>
  </si>
  <si>
    <t>IDC</t>
  </si>
  <si>
    <t>Selected Rating System:</t>
  </si>
  <si>
    <t>Percent</t>
  </si>
  <si>
    <t>Points BDC</t>
  </si>
  <si>
    <t>Points IDC</t>
  </si>
  <si>
    <t>Points CS</t>
  </si>
  <si>
    <t>EP?</t>
  </si>
  <si>
    <r>
      <t xml:space="preserve">Total Renewable Energy (Tier 1-3). </t>
    </r>
    <r>
      <rPr>
        <sz val="11"/>
        <color theme="1"/>
        <rFont val="Arial"/>
        <family val="2"/>
      </rPr>
      <t>(</t>
    </r>
    <r>
      <rPr>
        <i/>
        <sz val="11"/>
        <color theme="1"/>
        <rFont val="Arial"/>
        <family val="2"/>
      </rPr>
      <t>Maximum of 5 for BD+C, 6 for ID+C; plus one Exemplary)</t>
    </r>
  </si>
  <si>
    <t>Table 3. Points for Renewable Energy Procurement - ID+C</t>
  </si>
  <si>
    <t>Table 1. Points for Renewable Energy Procurement - BD+C</t>
  </si>
  <si>
    <t>v4.1 Credit Substitution for v4</t>
  </si>
  <si>
    <t>Project teams must substitute Renewable Energy for both relevant v4 credits, Renewable Energy Production and Green Power and Carbon Offsets, up to a maximum of five points; or up to a maximum of six points for LEED v4 ID+C if also substituting LEED v4.1 ID+C Optimize Energy Performance.</t>
  </si>
  <si>
    <r>
      <t xml:space="preserve">Copyright </t>
    </r>
    <r>
      <rPr>
        <sz val="9"/>
        <color theme="0" tint="-0.499984740745262"/>
        <rFont val="Arial"/>
        <family val="2"/>
      </rPr>
      <t>©</t>
    </r>
    <r>
      <rPr>
        <sz val="8"/>
        <color theme="0" tint="-0.499984740745262"/>
        <rFont val="Arial"/>
        <family val="2"/>
      </rPr>
      <t xml:space="preserve"> 2024</t>
    </r>
  </si>
  <si>
    <t>V04</t>
  </si>
  <si>
    <t>Last Updated July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</si>
</sst>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0.0%"/>
    <numFmt numFmtId="166" formatCode="[$-409]d\-mmm\-yyyy;@"/>
    <numFmt numFmtId="167" formatCode="#,##0.0"/>
    <numFmt numFmtId="168" formatCode="_(* #,##0.0000_);_(* \(#,##0.0000\);_(* &quot;-&quot;??_);_(@_)"/>
    <numFmt numFmtId="169" formatCode="0.0000"/>
    <numFmt numFmtId="170" formatCode="0.0"/>
  </numFmts>
  <fonts count="4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8"/>
      <name val="Arial"/>
      <family val="2"/>
    </font>
    <font>
      <b/>
      <sz val="16"/>
      <name val="Arial"/>
      <family val="2"/>
    </font>
    <font>
      <sz val="10"/>
      <color theme="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9"/>
      <color theme="1"/>
      <name val="Arial"/>
      <family val="2"/>
    </font>
    <font>
      <sz val="9"/>
      <name val="Arial"/>
      <family val="2"/>
    </font>
    <font>
      <sz val="16"/>
      <color theme="0"/>
      <name val="Arial Black"/>
      <family val="2"/>
    </font>
    <font>
      <sz val="8"/>
      <color theme="0" tint="-0.499984740745262"/>
      <name val="Arial"/>
      <family val="2"/>
    </font>
    <font>
      <sz val="9"/>
      <color theme="0" tint="-0.499984740745262"/>
      <name val="Arial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i/>
      <sz val="10"/>
      <color rgb="FF000000"/>
      <name val="Arial"/>
      <family val="2"/>
    </font>
    <font>
      <sz val="9"/>
      <color theme="1"/>
      <name val="Calibri"/>
      <family val="2"/>
      <scheme val="minor"/>
    </font>
    <font>
      <i/>
      <sz val="10"/>
      <color theme="1"/>
      <name val="Arial"/>
      <family val="2"/>
    </font>
    <font>
      <u/>
      <sz val="10"/>
      <color theme="1"/>
      <name val="Arial"/>
      <family val="2"/>
    </font>
    <font>
      <sz val="11"/>
      <color rgb="FFDDDDDD"/>
      <name val="Calibri"/>
      <family val="2"/>
      <scheme val="minor"/>
    </font>
    <font>
      <b/>
      <sz val="11"/>
      <color rgb="FFDDDDDD"/>
      <name val="Calibri"/>
      <family val="2"/>
      <scheme val="minor"/>
    </font>
    <font>
      <i/>
      <sz val="10"/>
      <name val="Arial"/>
      <family val="2"/>
    </font>
    <font>
      <b/>
      <sz val="10"/>
      <color rgb="FFFF0000"/>
      <name val="Arial"/>
      <family val="2"/>
    </font>
    <font>
      <sz val="10"/>
      <color rgb="FF777777"/>
      <name val="Arial"/>
      <family val="2"/>
    </font>
    <font>
      <sz val="9"/>
      <color rgb="FF777777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b/>
      <sz val="11"/>
      <color theme="8" tint="-0.499984740745262"/>
      <name val="Calibri"/>
      <family val="2"/>
      <scheme val="minor"/>
    </font>
    <font>
      <sz val="11"/>
      <color theme="1"/>
      <name val="Arial"/>
      <family val="2"/>
    </font>
    <font>
      <sz val="10"/>
      <color theme="0" tint="-4.9989318521683403E-2"/>
      <name val="Arial"/>
      <family val="2"/>
    </font>
    <font>
      <b/>
      <u/>
      <sz val="10"/>
      <color theme="1"/>
      <name val="Arial"/>
      <family val="2"/>
    </font>
    <font>
      <i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ADA63"/>
        <bgColor indexed="64"/>
      </patternFill>
    </fill>
    <fill>
      <patternFill patternType="solid">
        <fgColor rgb="FFFFFFCC"/>
        <bgColor indexed="64"/>
      </patternFill>
    </fill>
  </fills>
  <borders count="119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499984740745262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499984740745262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49998474074526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499984740745262"/>
      </bottom>
      <diagonal/>
    </border>
    <border>
      <left style="thin">
        <color theme="0" tint="-0.24994659260841701"/>
      </left>
      <right/>
      <top style="thin">
        <color theme="0" tint="-0.499984740745262"/>
      </top>
      <bottom/>
      <diagonal/>
    </border>
    <border>
      <left style="thin">
        <color theme="0" tint="-0.24994659260841701"/>
      </left>
      <right/>
      <top/>
      <bottom style="thin">
        <color theme="0" tint="-0.499984740745262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499984740745262"/>
      </left>
      <right style="thin">
        <color auto="1"/>
      </right>
      <top style="thin">
        <color theme="0" tint="-0.499984740745262"/>
      </top>
      <bottom style="thin">
        <color auto="1"/>
      </bottom>
      <diagonal/>
    </border>
    <border>
      <left/>
      <right style="thin">
        <color theme="0" tint="-0.24994659260841701"/>
      </right>
      <top style="thin">
        <color theme="0" tint="-0.499984740745262"/>
      </top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1"/>
      </top>
      <bottom style="thin">
        <color theme="0" tint="-0.24994659260841701"/>
      </bottom>
      <diagonal/>
    </border>
    <border>
      <left/>
      <right/>
      <top style="thin">
        <color theme="1"/>
      </top>
      <bottom style="thin">
        <color theme="0" tint="-0.2499465926084170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auto="1"/>
      </bottom>
      <diagonal/>
    </border>
    <border>
      <left/>
      <right style="thin">
        <color theme="0" tint="-0.24994659260841701"/>
      </right>
      <top/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1"/>
      </right>
      <top style="thin">
        <color theme="0" tint="-0.499984740745262"/>
      </top>
      <bottom style="thin">
        <color theme="0" tint="-0.24994659260841701"/>
      </bottom>
      <diagonal/>
    </border>
    <border>
      <left/>
      <right style="thin">
        <color auto="1"/>
      </right>
      <top style="thin">
        <color theme="0" tint="-0.499984740745262"/>
      </top>
      <bottom style="thin">
        <color theme="0" tint="-0.24994659260841701"/>
      </bottom>
      <diagonal/>
    </border>
    <border>
      <left/>
      <right style="thin">
        <color auto="1"/>
      </right>
      <top style="thin">
        <color theme="0" tint="-0.24994659260841701"/>
      </top>
      <bottom style="thin">
        <color theme="0" tint="-0.499984740745262"/>
      </bottom>
      <diagonal/>
    </border>
    <border>
      <left/>
      <right style="thin">
        <color auto="1"/>
      </right>
      <top/>
      <bottom style="thin">
        <color theme="0" tint="-0.24994659260841701"/>
      </bottom>
      <diagonal/>
    </border>
    <border>
      <left/>
      <right style="thin">
        <color auto="1"/>
      </right>
      <top/>
      <bottom/>
      <diagonal/>
    </border>
    <border>
      <left/>
      <right style="thin">
        <color theme="0" tint="-0.2499465926084170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auto="1"/>
      </top>
      <bottom style="thin">
        <color theme="0" tint="-0.24994659260841701"/>
      </bottom>
      <diagonal/>
    </border>
    <border>
      <left/>
      <right/>
      <top style="thin">
        <color auto="1"/>
      </top>
      <bottom style="thin">
        <color theme="0" tint="-0.24994659260841701"/>
      </bottom>
      <diagonal/>
    </border>
    <border>
      <left/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499984740745262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499984740745262"/>
      </top>
      <bottom style="thin">
        <color auto="1"/>
      </bottom>
      <diagonal/>
    </border>
    <border>
      <left/>
      <right style="thin">
        <color theme="0" tint="-0.24994659260841701"/>
      </right>
      <top style="thin">
        <color theme="0" tint="-0.499984740745262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auto="1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auto="1"/>
      </right>
      <top/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auto="1"/>
      </right>
      <top/>
      <bottom/>
      <diagonal/>
    </border>
    <border>
      <left style="thin">
        <color theme="0" tint="-0.499984740745262"/>
      </left>
      <right style="thin">
        <color theme="0" tint="-0.24994659260841701"/>
      </right>
      <top/>
      <bottom/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499984740745262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theme="1"/>
      </left>
      <right style="thin">
        <color theme="0" tint="-0.24994659260841701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1"/>
      </left>
      <right style="thin">
        <color theme="0" tint="-0.24994659260841701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1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theme="0" tint="-0.499984740745262"/>
      </right>
      <top style="thin">
        <color auto="1"/>
      </top>
      <bottom/>
      <diagonal/>
    </border>
    <border>
      <left style="thin">
        <color theme="0" tint="-0.499984740745262"/>
      </left>
      <right style="thin">
        <color auto="1"/>
      </right>
      <top style="thin">
        <color auto="1"/>
      </top>
      <bottom/>
      <diagonal/>
    </border>
    <border>
      <left/>
      <right style="thin">
        <color theme="0" tint="-0.499984740745262"/>
      </right>
      <top style="thin">
        <color indexed="64"/>
      </top>
      <bottom/>
      <diagonal/>
    </border>
    <border>
      <left/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499984740745262"/>
      </right>
      <top style="thin">
        <color theme="0" tint="-0.24994659260841701"/>
      </top>
      <bottom/>
      <diagonal/>
    </border>
    <border>
      <left style="thin">
        <color theme="0" tint="-0.499984740745262"/>
      </left>
      <right/>
      <top style="thin">
        <color theme="0" tint="-0.2499465926084170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/>
      <top style="thin">
        <color auto="1"/>
      </top>
      <bottom style="thin">
        <color auto="1"/>
      </bottom>
      <diagonal/>
    </border>
    <border>
      <left/>
      <right style="thin">
        <color theme="0" tint="-0.24994659260841701"/>
      </right>
      <top style="thin">
        <color auto="1"/>
      </top>
      <bottom style="thin">
        <color auto="1"/>
      </bottom>
      <diagonal/>
    </border>
    <border>
      <left/>
      <right style="thin">
        <color theme="0" tint="-0.499984740745262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/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auto="1"/>
      </bottom>
      <diagonal/>
    </border>
    <border>
      <left style="thin">
        <color auto="1"/>
      </left>
      <right style="thin">
        <color theme="0" tint="-0.499984740745262"/>
      </right>
      <top style="thin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auto="1"/>
      </top>
      <bottom style="thin">
        <color theme="0" tint="-0.499984740745262"/>
      </bottom>
      <diagonal/>
    </border>
    <border>
      <left style="thin">
        <color auto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</borders>
  <cellStyleXfs count="94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/>
    <xf numFmtId="0" fontId="6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5" fillId="0" borderId="0"/>
    <xf numFmtId="43" fontId="4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416">
    <xf numFmtId="0" fontId="0" fillId="0" borderId="0" xfId="0"/>
    <xf numFmtId="0" fontId="12" fillId="0" borderId="0" xfId="0" applyFont="1" applyAlignment="1" applyProtection="1">
      <alignment wrapText="1"/>
      <protection hidden="1"/>
    </xf>
    <xf numFmtId="0" fontId="6" fillId="3" borderId="0" xfId="0" applyFont="1" applyFill="1" applyAlignment="1" applyProtection="1">
      <alignment wrapText="1"/>
      <protection hidden="1"/>
    </xf>
    <xf numFmtId="0" fontId="6" fillId="5" borderId="0" xfId="0" applyFont="1" applyFill="1" applyAlignment="1" applyProtection="1">
      <alignment wrapText="1"/>
      <protection hidden="1"/>
    </xf>
    <xf numFmtId="0" fontId="6" fillId="5" borderId="0" xfId="0" applyFont="1" applyFill="1" applyProtection="1">
      <protection hidden="1"/>
    </xf>
    <xf numFmtId="0" fontId="6" fillId="3" borderId="0" xfId="0" applyFont="1" applyFill="1" applyProtection="1">
      <protection hidden="1"/>
    </xf>
    <xf numFmtId="0" fontId="8" fillId="3" borderId="0" xfId="0" applyFont="1" applyFill="1" applyAlignment="1" applyProtection="1">
      <alignment horizontal="left" indent="2"/>
      <protection hidden="1"/>
    </xf>
    <xf numFmtId="0" fontId="6" fillId="3" borderId="0" xfId="0" applyFont="1" applyFill="1" applyAlignment="1" applyProtection="1">
      <alignment vertical="center" wrapText="1"/>
      <protection hidden="1"/>
    </xf>
    <xf numFmtId="0" fontId="11" fillId="3" borderId="0" xfId="0" applyFont="1" applyFill="1" applyAlignment="1" applyProtection="1">
      <alignment vertical="center"/>
      <protection hidden="1"/>
    </xf>
    <xf numFmtId="0" fontId="7" fillId="3" borderId="0" xfId="0" applyFont="1" applyFill="1" applyAlignment="1" applyProtection="1">
      <alignment wrapText="1"/>
      <protection hidden="1"/>
    </xf>
    <xf numFmtId="0" fontId="6" fillId="3" borderId="0" xfId="0" applyFont="1" applyFill="1" applyAlignment="1" applyProtection="1">
      <alignment horizontal="left" wrapText="1"/>
      <protection hidden="1"/>
    </xf>
    <xf numFmtId="0" fontId="6" fillId="3" borderId="0" xfId="0" applyFont="1" applyFill="1" applyAlignment="1" applyProtection="1">
      <alignment vertical="center"/>
      <protection hidden="1"/>
    </xf>
    <xf numFmtId="0" fontId="6" fillId="3" borderId="6" xfId="0" applyFont="1" applyFill="1" applyBorder="1" applyAlignment="1" applyProtection="1">
      <alignment wrapText="1"/>
      <protection hidden="1"/>
    </xf>
    <xf numFmtId="0" fontId="6" fillId="3" borderId="7" xfId="0" applyFont="1" applyFill="1" applyBorder="1" applyAlignment="1" applyProtection="1">
      <alignment wrapText="1"/>
      <protection hidden="1"/>
    </xf>
    <xf numFmtId="0" fontId="14" fillId="3" borderId="7" xfId="0" applyFont="1" applyFill="1" applyBorder="1" applyAlignment="1" applyProtection="1">
      <alignment vertical="center"/>
      <protection hidden="1"/>
    </xf>
    <xf numFmtId="0" fontId="6" fillId="3" borderId="7" xfId="0" applyFont="1" applyFill="1" applyBorder="1" applyProtection="1">
      <protection hidden="1"/>
    </xf>
    <xf numFmtId="0" fontId="6" fillId="3" borderId="8" xfId="0" applyFont="1" applyFill="1" applyBorder="1" applyProtection="1">
      <protection hidden="1"/>
    </xf>
    <xf numFmtId="0" fontId="6" fillId="3" borderId="4" xfId="0" applyFont="1" applyFill="1" applyBorder="1" applyAlignment="1" applyProtection="1">
      <alignment wrapText="1"/>
      <protection hidden="1"/>
    </xf>
    <xf numFmtId="0" fontId="6" fillId="3" borderId="5" xfId="0" applyFont="1" applyFill="1" applyBorder="1" applyAlignment="1" applyProtection="1">
      <alignment wrapText="1"/>
      <protection hidden="1"/>
    </xf>
    <xf numFmtId="0" fontId="7" fillId="3" borderId="4" xfId="0" applyFont="1" applyFill="1" applyBorder="1" applyAlignment="1" applyProtection="1">
      <alignment wrapText="1"/>
      <protection hidden="1"/>
    </xf>
    <xf numFmtId="0" fontId="6" fillId="3" borderId="5" xfId="0" applyFont="1" applyFill="1" applyBorder="1" applyProtection="1">
      <protection hidden="1"/>
    </xf>
    <xf numFmtId="0" fontId="6" fillId="3" borderId="9" xfId="0" applyFont="1" applyFill="1" applyBorder="1" applyAlignment="1" applyProtection="1">
      <alignment wrapText="1"/>
      <protection hidden="1"/>
    </xf>
    <xf numFmtId="0" fontId="6" fillId="3" borderId="10" xfId="0" applyFont="1" applyFill="1" applyBorder="1" applyAlignment="1" applyProtection="1">
      <alignment wrapText="1"/>
      <protection hidden="1"/>
    </xf>
    <xf numFmtId="0" fontId="6" fillId="3" borderId="11" xfId="0" applyFont="1" applyFill="1" applyBorder="1" applyAlignment="1" applyProtection="1">
      <alignment wrapText="1"/>
      <protection hidden="1"/>
    </xf>
    <xf numFmtId="0" fontId="7" fillId="3" borderId="0" xfId="0" applyFont="1" applyFill="1" applyProtection="1">
      <protection hidden="1"/>
    </xf>
    <xf numFmtId="0" fontId="7" fillId="3" borderId="0" xfId="0" applyFont="1" applyFill="1" applyAlignment="1" applyProtection="1">
      <alignment vertical="center"/>
      <protection hidden="1"/>
    </xf>
    <xf numFmtId="0" fontId="19" fillId="0" borderId="0" xfId="0" applyFont="1" applyAlignment="1" applyProtection="1">
      <alignment wrapText="1"/>
      <protection hidden="1"/>
    </xf>
    <xf numFmtId="0" fontId="12" fillId="0" borderId="0" xfId="0" applyFont="1" applyProtection="1">
      <protection hidden="1"/>
    </xf>
    <xf numFmtId="0" fontId="19" fillId="0" borderId="0" xfId="0" applyFont="1" applyAlignment="1" applyProtection="1">
      <alignment vertical="center" wrapText="1"/>
      <protection hidden="1"/>
    </xf>
    <xf numFmtId="0" fontId="15" fillId="5" borderId="0" xfId="4" applyFont="1" applyFill="1" applyProtection="1">
      <protection hidden="1"/>
    </xf>
    <xf numFmtId="0" fontId="15" fillId="3" borderId="4" xfId="4" applyFont="1" applyFill="1" applyBorder="1" applyProtection="1">
      <protection hidden="1"/>
    </xf>
    <xf numFmtId="0" fontId="15" fillId="3" borderId="0" xfId="4" applyFont="1" applyFill="1" applyProtection="1">
      <protection hidden="1"/>
    </xf>
    <xf numFmtId="0" fontId="15" fillId="3" borderId="5" xfId="4" applyFont="1" applyFill="1" applyBorder="1" applyProtection="1">
      <protection hidden="1"/>
    </xf>
    <xf numFmtId="0" fontId="0" fillId="5" borderId="0" xfId="0" applyFill="1" applyProtection="1">
      <protection hidden="1"/>
    </xf>
    <xf numFmtId="0" fontId="11" fillId="5" borderId="0" xfId="0" applyFont="1" applyFill="1" applyProtection="1">
      <protection hidden="1"/>
    </xf>
    <xf numFmtId="0" fontId="11" fillId="3" borderId="4" xfId="0" applyFont="1" applyFill="1" applyBorder="1" applyAlignment="1" applyProtection="1">
      <alignment vertical="center"/>
      <protection hidden="1"/>
    </xf>
    <xf numFmtId="0" fontId="11" fillId="3" borderId="0" xfId="0" applyFont="1" applyFill="1" applyProtection="1">
      <protection hidden="1"/>
    </xf>
    <xf numFmtId="0" fontId="0" fillId="3" borderId="0" xfId="0" applyFill="1" applyProtection="1">
      <protection hidden="1"/>
    </xf>
    <xf numFmtId="0" fontId="0" fillId="3" borderId="5" xfId="0" applyFill="1" applyBorder="1" applyProtection="1">
      <protection hidden="1"/>
    </xf>
    <xf numFmtId="0" fontId="17" fillId="3" borderId="0" xfId="0" applyFont="1" applyFill="1" applyAlignment="1" applyProtection="1">
      <alignment vertical="center"/>
      <protection hidden="1"/>
    </xf>
    <xf numFmtId="0" fontId="9" fillId="4" borderId="14" xfId="0" applyFont="1" applyFill="1" applyBorder="1" applyAlignment="1" applyProtection="1">
      <alignment horizontal="center" vertical="center" wrapText="1"/>
      <protection hidden="1"/>
    </xf>
    <xf numFmtId="4" fontId="22" fillId="5" borderId="1" xfId="1" applyNumberFormat="1" applyFont="1" applyFill="1" applyBorder="1" applyAlignment="1" applyProtection="1">
      <alignment horizontal="left" vertical="center" wrapText="1" indent="1"/>
      <protection locked="0"/>
    </xf>
    <xf numFmtId="4" fontId="22" fillId="4" borderId="14" xfId="0" applyNumberFormat="1" applyFont="1" applyFill="1" applyBorder="1" applyAlignment="1" applyProtection="1">
      <alignment horizontal="right" vertical="center" wrapText="1"/>
      <protection locked="0"/>
    </xf>
    <xf numFmtId="0" fontId="22" fillId="5" borderId="18" xfId="0" applyFont="1" applyFill="1" applyBorder="1" applyAlignment="1" applyProtection="1">
      <alignment horizontal="left" vertical="center" wrapText="1"/>
      <protection locked="0"/>
    </xf>
    <xf numFmtId="0" fontId="23" fillId="5" borderId="0" xfId="0" applyFont="1" applyFill="1" applyAlignment="1" applyProtection="1">
      <alignment wrapText="1"/>
      <protection hidden="1"/>
    </xf>
    <xf numFmtId="0" fontId="22" fillId="5" borderId="29" xfId="0" applyFont="1" applyFill="1" applyBorder="1" applyAlignment="1" applyProtection="1">
      <alignment horizontal="left" vertical="center" wrapText="1"/>
      <protection locked="0"/>
    </xf>
    <xf numFmtId="0" fontId="22" fillId="5" borderId="25" xfId="0" applyFont="1" applyFill="1" applyBorder="1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wrapText="1"/>
      <protection hidden="1"/>
    </xf>
    <xf numFmtId="0" fontId="12" fillId="4" borderId="32" xfId="0" applyFont="1" applyFill="1" applyBorder="1" applyAlignment="1" applyProtection="1">
      <alignment horizontal="center" vertical="center" wrapText="1"/>
      <protection hidden="1"/>
    </xf>
    <xf numFmtId="0" fontId="2" fillId="5" borderId="0" xfId="88" applyFont="1" applyFill="1" applyAlignment="1">
      <alignment vertical="center"/>
    </xf>
    <xf numFmtId="0" fontId="2" fillId="3" borderId="4" xfId="88" applyFont="1" applyFill="1" applyBorder="1" applyAlignment="1">
      <alignment vertical="center"/>
    </xf>
    <xf numFmtId="0" fontId="13" fillId="3" borderId="0" xfId="88" applyFont="1" applyFill="1" applyAlignment="1">
      <alignment horizontal="left" vertical="center"/>
    </xf>
    <xf numFmtId="0" fontId="6" fillId="3" borderId="0" xfId="5" applyFill="1" applyAlignment="1">
      <alignment vertical="center" wrapText="1"/>
    </xf>
    <xf numFmtId="0" fontId="23" fillId="3" borderId="0" xfId="5" applyFont="1" applyFill="1" applyAlignment="1">
      <alignment vertical="center"/>
    </xf>
    <xf numFmtId="0" fontId="2" fillId="3" borderId="5" xfId="88" applyFont="1" applyFill="1" applyBorder="1" applyAlignment="1">
      <alignment vertical="center"/>
    </xf>
    <xf numFmtId="0" fontId="2" fillId="0" borderId="0" xfId="88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9" xfId="0" applyFont="1" applyBorder="1" applyAlignment="1" applyProtection="1">
      <alignment horizontal="center" vertical="center" wrapText="1"/>
      <protection hidden="1"/>
    </xf>
    <xf numFmtId="0" fontId="25" fillId="5" borderId="0" xfId="90" applyFont="1" applyFill="1" applyAlignment="1">
      <alignment horizontal="right" vertical="center"/>
    </xf>
    <xf numFmtId="0" fontId="25" fillId="5" borderId="0" xfId="4" applyFont="1" applyFill="1" applyAlignment="1">
      <alignment horizontal="right" vertical="center"/>
    </xf>
    <xf numFmtId="0" fontId="6" fillId="3" borderId="0" xfId="0" applyFont="1" applyFill="1" applyAlignment="1" applyProtection="1">
      <alignment horizontal="left" vertical="center" wrapText="1"/>
      <protection hidden="1"/>
    </xf>
    <xf numFmtId="0" fontId="9" fillId="2" borderId="21" xfId="0" applyFont="1" applyFill="1" applyBorder="1" applyAlignment="1" applyProtection="1">
      <alignment horizontal="center" vertical="center" wrapText="1"/>
      <protection hidden="1"/>
    </xf>
    <xf numFmtId="0" fontId="9" fillId="2" borderId="22" xfId="0" applyFont="1" applyFill="1" applyBorder="1" applyAlignment="1" applyProtection="1">
      <alignment horizontal="center" vertical="center" wrapText="1"/>
      <protection hidden="1"/>
    </xf>
    <xf numFmtId="0" fontId="3" fillId="6" borderId="0" xfId="0" applyFont="1" applyFill="1" applyProtection="1">
      <protection hidden="1"/>
    </xf>
    <xf numFmtId="0" fontId="12" fillId="6" borderId="0" xfId="0" applyFont="1" applyFill="1" applyProtection="1">
      <protection hidden="1"/>
    </xf>
    <xf numFmtId="0" fontId="19" fillId="6" borderId="0" xfId="0" applyFont="1" applyFill="1" applyProtection="1">
      <protection hidden="1"/>
    </xf>
    <xf numFmtId="0" fontId="24" fillId="6" borderId="0" xfId="0" applyFont="1" applyFill="1" applyAlignment="1" applyProtection="1">
      <alignment vertical="center"/>
      <protection hidden="1"/>
    </xf>
    <xf numFmtId="0" fontId="19" fillId="6" borderId="0" xfId="0" applyFont="1" applyFill="1" applyAlignment="1" applyProtection="1">
      <alignment vertical="center" wrapText="1"/>
      <protection hidden="1"/>
    </xf>
    <xf numFmtId="0" fontId="9" fillId="2" borderId="38" xfId="0" applyFont="1" applyFill="1" applyBorder="1" applyAlignment="1" applyProtection="1">
      <alignment horizontal="center" vertical="center" wrapText="1"/>
      <protection hidden="1"/>
    </xf>
    <xf numFmtId="0" fontId="22" fillId="5" borderId="45" xfId="0" applyFont="1" applyFill="1" applyBorder="1" applyAlignment="1" applyProtection="1">
      <alignment horizontal="left" vertical="center" wrapText="1"/>
      <protection locked="0"/>
    </xf>
    <xf numFmtId="0" fontId="22" fillId="5" borderId="36" xfId="0" applyFont="1" applyFill="1" applyBorder="1" applyAlignment="1" applyProtection="1">
      <alignment horizontal="left" vertical="center" wrapText="1"/>
      <protection locked="0"/>
    </xf>
    <xf numFmtId="0" fontId="22" fillId="5" borderId="37" xfId="0" applyFont="1" applyFill="1" applyBorder="1" applyAlignment="1" applyProtection="1">
      <alignment horizontal="left" vertical="center" wrapText="1"/>
      <protection locked="0"/>
    </xf>
    <xf numFmtId="0" fontId="0" fillId="0" borderId="46" xfId="0" applyBorder="1"/>
    <xf numFmtId="0" fontId="28" fillId="0" borderId="0" xfId="0" applyFont="1"/>
    <xf numFmtId="0" fontId="27" fillId="0" borderId="46" xfId="0" applyFont="1" applyBorder="1"/>
    <xf numFmtId="0" fontId="27" fillId="0" borderId="0" xfId="0" applyFont="1"/>
    <xf numFmtId="0" fontId="0" fillId="0" borderId="0" xfId="0" applyAlignment="1">
      <alignment wrapText="1"/>
    </xf>
    <xf numFmtId="0" fontId="1" fillId="0" borderId="0" xfId="0" applyFont="1" applyAlignment="1" applyProtection="1">
      <alignment wrapText="1"/>
      <protection hidden="1"/>
    </xf>
    <xf numFmtId="0" fontId="12" fillId="0" borderId="0" xfId="0" applyFont="1" applyAlignment="1" applyProtection="1">
      <alignment horizontal="left"/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30" fillId="0" borderId="0" xfId="0" applyFont="1" applyAlignment="1" applyProtection="1">
      <alignment wrapText="1"/>
      <protection hidden="1"/>
    </xf>
    <xf numFmtId="0" fontId="6" fillId="0" borderId="0" xfId="5"/>
    <xf numFmtId="0" fontId="0" fillId="0" borderId="0" xfId="0" applyAlignment="1">
      <alignment horizontal="center"/>
    </xf>
    <xf numFmtId="0" fontId="9" fillId="2" borderId="28" xfId="0" applyFont="1" applyFill="1" applyBorder="1" applyAlignment="1" applyProtection="1">
      <alignment horizontal="center" vertical="center" wrapText="1"/>
      <protection hidden="1"/>
    </xf>
    <xf numFmtId="0" fontId="9" fillId="2" borderId="53" xfId="0" applyFont="1" applyFill="1" applyBorder="1" applyAlignment="1" applyProtection="1">
      <alignment horizontal="centerContinuous" vertical="center" wrapText="1"/>
      <protection hidden="1"/>
    </xf>
    <xf numFmtId="0" fontId="9" fillId="2" borderId="54" xfId="0" applyFont="1" applyFill="1" applyBorder="1" applyAlignment="1" applyProtection="1">
      <alignment horizontal="centerContinuous" vertical="center" wrapText="1"/>
      <protection hidden="1"/>
    </xf>
    <xf numFmtId="0" fontId="9" fillId="2" borderId="22" xfId="0" applyFont="1" applyFill="1" applyBorder="1" applyAlignment="1" applyProtection="1">
      <alignment horizontal="centerContinuous" vertical="center" wrapText="1"/>
      <protection hidden="1"/>
    </xf>
    <xf numFmtId="166" fontId="22" fillId="5" borderId="45" xfId="0" applyNumberFormat="1" applyFont="1" applyFill="1" applyBorder="1" applyAlignment="1" applyProtection="1">
      <alignment horizontal="left" vertical="center" wrapText="1"/>
      <protection locked="0"/>
    </xf>
    <xf numFmtId="166" fontId="22" fillId="5" borderId="36" xfId="0" applyNumberFormat="1" applyFont="1" applyFill="1" applyBorder="1" applyAlignment="1" applyProtection="1">
      <alignment horizontal="left" vertical="center" wrapText="1"/>
      <protection locked="0"/>
    </xf>
    <xf numFmtId="166" fontId="22" fillId="5" borderId="37" xfId="0" applyNumberFormat="1" applyFont="1" applyFill="1" applyBorder="1" applyAlignment="1" applyProtection="1">
      <alignment horizontal="left" vertical="center" wrapText="1"/>
      <protection locked="0"/>
    </xf>
    <xf numFmtId="0" fontId="1" fillId="0" borderId="0" xfId="0" quotePrefix="1" applyFont="1" applyAlignment="1" applyProtection="1">
      <alignment wrapText="1"/>
      <protection hidden="1"/>
    </xf>
    <xf numFmtId="3" fontId="22" fillId="4" borderId="14" xfId="0" applyNumberFormat="1" applyFont="1" applyFill="1" applyBorder="1" applyAlignment="1" applyProtection="1">
      <alignment horizontal="right" vertical="center" wrapText="1"/>
      <protection locked="0"/>
    </xf>
    <xf numFmtId="0" fontId="9" fillId="2" borderId="26" xfId="0" applyFont="1" applyFill="1" applyBorder="1" applyAlignment="1" applyProtection="1">
      <alignment horizontal="centerContinuous" vertical="center" wrapText="1"/>
      <protection hidden="1"/>
    </xf>
    <xf numFmtId="0" fontId="9" fillId="2" borderId="58" xfId="0" applyFont="1" applyFill="1" applyBorder="1" applyAlignment="1" applyProtection="1">
      <alignment horizontal="centerContinuous" vertical="center" wrapText="1"/>
      <protection hidden="1"/>
    </xf>
    <xf numFmtId="0" fontId="9" fillId="3" borderId="0" xfId="0" applyFont="1" applyFill="1" applyAlignment="1" applyProtection="1">
      <alignment horizontal="left" vertical="center" wrapText="1"/>
      <protection hidden="1"/>
    </xf>
    <xf numFmtId="0" fontId="9" fillId="2" borderId="59" xfId="0" applyFont="1" applyFill="1" applyBorder="1" applyAlignment="1" applyProtection="1">
      <alignment horizontal="center" vertical="center" wrapText="1"/>
      <protection hidden="1"/>
    </xf>
    <xf numFmtId="0" fontId="1" fillId="3" borderId="29" xfId="0" applyFont="1" applyFill="1" applyBorder="1" applyAlignment="1" applyProtection="1">
      <alignment horizontal="left" vertical="center" wrapText="1"/>
      <protection locked="0"/>
    </xf>
    <xf numFmtId="0" fontId="1" fillId="5" borderId="60" xfId="0" applyFont="1" applyFill="1" applyBorder="1" applyAlignment="1" applyProtection="1">
      <alignment horizontal="center" vertical="center" wrapText="1"/>
      <protection locked="0"/>
    </xf>
    <xf numFmtId="0" fontId="1" fillId="3" borderId="18" xfId="0" applyFont="1" applyFill="1" applyBorder="1" applyAlignment="1" applyProtection="1">
      <alignment horizontal="left" vertical="center" wrapText="1"/>
      <protection locked="0"/>
    </xf>
    <xf numFmtId="0" fontId="1" fillId="3" borderId="25" xfId="0" applyFont="1" applyFill="1" applyBorder="1" applyAlignment="1" applyProtection="1">
      <alignment horizontal="left" vertical="center" wrapText="1"/>
      <protection locked="0"/>
    </xf>
    <xf numFmtId="0" fontId="1" fillId="5" borderId="61" xfId="0" applyFont="1" applyFill="1" applyBorder="1" applyAlignment="1" applyProtection="1">
      <alignment horizontal="center" vertical="center" wrapText="1"/>
      <protection locked="0"/>
    </xf>
    <xf numFmtId="0" fontId="22" fillId="5" borderId="45" xfId="0" applyFont="1" applyFill="1" applyBorder="1" applyAlignment="1" applyProtection="1">
      <alignment horizontal="center" vertical="center" wrapText="1"/>
      <protection locked="0"/>
    </xf>
    <xf numFmtId="0" fontId="22" fillId="5" borderId="36" xfId="0" applyFont="1" applyFill="1" applyBorder="1" applyAlignment="1" applyProtection="1">
      <alignment horizontal="center" vertical="center" wrapText="1"/>
      <protection locked="0"/>
    </xf>
    <xf numFmtId="0" fontId="22" fillId="5" borderId="37" xfId="0" applyFont="1" applyFill="1" applyBorder="1" applyAlignment="1" applyProtection="1">
      <alignment horizontal="center" vertical="center" wrapText="1"/>
      <protection locked="0"/>
    </xf>
    <xf numFmtId="167" fontId="1" fillId="5" borderId="45" xfId="0" applyNumberFormat="1" applyFont="1" applyFill="1" applyBorder="1" applyAlignment="1" applyProtection="1">
      <alignment horizontal="center" vertical="center" wrapText="1"/>
      <protection locked="0"/>
    </xf>
    <xf numFmtId="167" fontId="1" fillId="5" borderId="36" xfId="0" applyNumberFormat="1" applyFont="1" applyFill="1" applyBorder="1" applyAlignment="1" applyProtection="1">
      <alignment horizontal="center" vertical="center" wrapText="1"/>
      <protection locked="0"/>
    </xf>
    <xf numFmtId="167" fontId="1" fillId="5" borderId="37" xfId="0" applyNumberFormat="1" applyFont="1" applyFill="1" applyBorder="1" applyAlignment="1" applyProtection="1">
      <alignment horizontal="center" vertical="center" wrapText="1"/>
      <protection locked="0"/>
    </xf>
    <xf numFmtId="0" fontId="9" fillId="2" borderId="65" xfId="0" applyFont="1" applyFill="1" applyBorder="1" applyAlignment="1" applyProtection="1">
      <alignment horizontal="centerContinuous" vertical="center" wrapText="1"/>
      <protection hidden="1"/>
    </xf>
    <xf numFmtId="0" fontId="9" fillId="2" borderId="66" xfId="0" applyFont="1" applyFill="1" applyBorder="1" applyAlignment="1" applyProtection="1">
      <alignment horizontal="centerContinuous" vertical="center" wrapText="1"/>
      <protection hidden="1"/>
    </xf>
    <xf numFmtId="0" fontId="9" fillId="2" borderId="67" xfId="0" applyFont="1" applyFill="1" applyBorder="1" applyAlignment="1" applyProtection="1">
      <alignment horizontal="centerContinuous" vertical="center" wrapText="1"/>
      <protection hidden="1"/>
    </xf>
    <xf numFmtId="0" fontId="10" fillId="2" borderId="68" xfId="0" applyFont="1" applyFill="1" applyBorder="1" applyAlignment="1" applyProtection="1">
      <alignment horizontal="center" vertical="center" wrapText="1"/>
      <protection hidden="1"/>
    </xf>
    <xf numFmtId="167" fontId="13" fillId="0" borderId="69" xfId="0" applyNumberFormat="1" applyFont="1" applyBorder="1" applyAlignment="1" applyProtection="1">
      <alignment horizontal="center" vertical="center" wrapText="1"/>
      <protection hidden="1"/>
    </xf>
    <xf numFmtId="166" fontId="22" fillId="5" borderId="49" xfId="0" applyNumberFormat="1" applyFont="1" applyFill="1" applyBorder="1" applyAlignment="1" applyProtection="1">
      <alignment horizontal="left" vertical="center" wrapText="1"/>
      <protection locked="0"/>
    </xf>
    <xf numFmtId="3" fontId="2" fillId="0" borderId="19" xfId="0" applyNumberFormat="1" applyFont="1" applyBorder="1" applyAlignment="1" applyProtection="1">
      <alignment horizontal="center" vertical="center" wrapText="1"/>
      <protection hidden="1"/>
    </xf>
    <xf numFmtId="3" fontId="12" fillId="0" borderId="0" xfId="0" applyNumberFormat="1" applyFont="1" applyAlignment="1" applyProtection="1">
      <alignment wrapText="1"/>
      <protection hidden="1"/>
    </xf>
    <xf numFmtId="3" fontId="1" fillId="0" borderId="19" xfId="0" applyNumberFormat="1" applyFont="1" applyBorder="1" applyAlignment="1" applyProtection="1">
      <alignment horizontal="center" vertical="center" wrapText="1"/>
      <protection hidden="1"/>
    </xf>
    <xf numFmtId="3" fontId="22" fillId="0" borderId="19" xfId="0" applyNumberFormat="1" applyFont="1" applyBorder="1" applyAlignment="1" applyProtection="1">
      <alignment horizontal="right" vertical="center" wrapText="1"/>
      <protection hidden="1"/>
    </xf>
    <xf numFmtId="3" fontId="12" fillId="0" borderId="19" xfId="0" applyNumberFormat="1" applyFont="1" applyBorder="1" applyAlignment="1" applyProtection="1">
      <alignment wrapText="1"/>
      <protection hidden="1"/>
    </xf>
    <xf numFmtId="0" fontId="10" fillId="2" borderId="74" xfId="0" applyFont="1" applyFill="1" applyBorder="1" applyAlignment="1" applyProtection="1">
      <alignment horizontal="center" vertical="center" wrapText="1"/>
      <protection hidden="1"/>
    </xf>
    <xf numFmtId="0" fontId="22" fillId="5" borderId="52" xfId="0" applyFont="1" applyFill="1" applyBorder="1" applyAlignment="1" applyProtection="1">
      <alignment horizontal="center" vertical="center" wrapText="1"/>
      <protection locked="0"/>
    </xf>
    <xf numFmtId="0" fontId="22" fillId="5" borderId="31" xfId="0" applyFont="1" applyFill="1" applyBorder="1" applyAlignment="1" applyProtection="1">
      <alignment horizontal="center" vertical="center" wrapText="1"/>
      <protection locked="0"/>
    </xf>
    <xf numFmtId="0" fontId="22" fillId="5" borderId="13" xfId="0" applyFont="1" applyFill="1" applyBorder="1" applyAlignment="1" applyProtection="1">
      <alignment horizontal="center" vertical="center" wrapText="1"/>
      <protection locked="0"/>
    </xf>
    <xf numFmtId="167" fontId="22" fillId="5" borderId="45" xfId="0" applyNumberFormat="1" applyFont="1" applyFill="1" applyBorder="1" applyAlignment="1" applyProtection="1">
      <alignment horizontal="center" vertical="center" wrapText="1"/>
      <protection locked="0"/>
    </xf>
    <xf numFmtId="167" fontId="22" fillId="5" borderId="36" xfId="0" applyNumberFormat="1" applyFont="1" applyFill="1" applyBorder="1" applyAlignment="1" applyProtection="1">
      <alignment horizontal="center" vertical="center" wrapText="1"/>
      <protection locked="0"/>
    </xf>
    <xf numFmtId="167" fontId="22" fillId="5" borderId="37" xfId="0" applyNumberFormat="1" applyFont="1" applyFill="1" applyBorder="1" applyAlignment="1" applyProtection="1">
      <alignment horizontal="center" vertical="center" wrapText="1"/>
      <protection locked="0"/>
    </xf>
    <xf numFmtId="0" fontId="22" fillId="5" borderId="49" xfId="0" applyFont="1" applyFill="1" applyBorder="1" applyAlignment="1" applyProtection="1">
      <alignment horizontal="center" vertical="center" wrapText="1"/>
      <protection locked="0"/>
    </xf>
    <xf numFmtId="0" fontId="30" fillId="0" borderId="0" xfId="0" applyFont="1" applyProtection="1">
      <protection hidden="1"/>
    </xf>
    <xf numFmtId="164" fontId="0" fillId="0" borderId="0" xfId="91" applyNumberFormat="1" applyFont="1"/>
    <xf numFmtId="43" fontId="0" fillId="0" borderId="0" xfId="91" applyFont="1"/>
    <xf numFmtId="168" fontId="0" fillId="0" borderId="0" xfId="91" applyNumberFormat="1" applyFont="1"/>
    <xf numFmtId="169" fontId="0" fillId="0" borderId="0" xfId="0" applyNumberFormat="1"/>
    <xf numFmtId="43" fontId="0" fillId="0" borderId="0" xfId="0" applyNumberFormat="1"/>
    <xf numFmtId="0" fontId="0" fillId="2" borderId="47" xfId="0" applyFill="1" applyBorder="1" applyAlignment="1">
      <alignment horizontal="centerContinuous"/>
    </xf>
    <xf numFmtId="0" fontId="27" fillId="2" borderId="80" xfId="0" applyFont="1" applyFill="1" applyBorder="1"/>
    <xf numFmtId="0" fontId="27" fillId="3" borderId="0" xfId="0" applyFont="1" applyFill="1"/>
    <xf numFmtId="0" fontId="0" fillId="3" borderId="0" xfId="0" applyFill="1" applyAlignment="1">
      <alignment wrapText="1"/>
    </xf>
    <xf numFmtId="0" fontId="0" fillId="3" borderId="0" xfId="0" applyFill="1"/>
    <xf numFmtId="164" fontId="0" fillId="3" borderId="0" xfId="91" applyNumberFormat="1" applyFont="1" applyFill="1"/>
    <xf numFmtId="0" fontId="0" fillId="3" borderId="0" xfId="0" applyFill="1" applyAlignment="1">
      <alignment horizontal="left"/>
    </xf>
    <xf numFmtId="0" fontId="0" fillId="3" borderId="47" xfId="0" applyFill="1" applyBorder="1" applyAlignment="1">
      <alignment wrapText="1"/>
    </xf>
    <xf numFmtId="164" fontId="0" fillId="3" borderId="0" xfId="91" applyNumberFormat="1" applyFont="1" applyFill="1" applyBorder="1"/>
    <xf numFmtId="165" fontId="0" fillId="3" borderId="47" xfId="92" applyNumberFormat="1" applyFont="1" applyFill="1" applyBorder="1"/>
    <xf numFmtId="0" fontId="27" fillId="2" borderId="81" xfId="0" applyFont="1" applyFill="1" applyBorder="1"/>
    <xf numFmtId="0" fontId="0" fillId="2" borderId="83" xfId="0" applyFill="1" applyBorder="1" applyAlignment="1">
      <alignment wrapText="1"/>
    </xf>
    <xf numFmtId="0" fontId="0" fillId="2" borderId="82" xfId="0" applyFill="1" applyBorder="1"/>
    <xf numFmtId="0" fontId="0" fillId="2" borderId="0" xfId="0" applyFill="1" applyAlignment="1">
      <alignment wrapText="1"/>
    </xf>
    <xf numFmtId="0" fontId="0" fillId="2" borderId="48" xfId="0" applyFill="1" applyBorder="1" applyAlignment="1">
      <alignment horizontal="centerContinuous"/>
    </xf>
    <xf numFmtId="0" fontId="0" fillId="2" borderId="14" xfId="0" applyFill="1" applyBorder="1"/>
    <xf numFmtId="0" fontId="0" fillId="2" borderId="14" xfId="0" applyFill="1" applyBorder="1" applyAlignment="1">
      <alignment horizontal="left"/>
    </xf>
    <xf numFmtId="0" fontId="0" fillId="2" borderId="15" xfId="0" applyFill="1" applyBorder="1"/>
    <xf numFmtId="0" fontId="0" fillId="2" borderId="16" xfId="0" applyFill="1" applyBorder="1" applyAlignment="1">
      <alignment wrapText="1"/>
    </xf>
    <xf numFmtId="0" fontId="0" fillId="2" borderId="16" xfId="0" applyFill="1" applyBorder="1"/>
    <xf numFmtId="164" fontId="0" fillId="0" borderId="16" xfId="91" applyNumberFormat="1" applyFont="1" applyBorder="1"/>
    <xf numFmtId="164" fontId="0" fillId="0" borderId="16" xfId="0" applyNumberFormat="1" applyBorder="1"/>
    <xf numFmtId="164" fontId="0" fillId="2" borderId="16" xfId="91" applyNumberFormat="1" applyFont="1" applyFill="1" applyBorder="1"/>
    <xf numFmtId="164" fontId="0" fillId="0" borderId="17" xfId="91" applyNumberFormat="1" applyFont="1" applyBorder="1"/>
    <xf numFmtId="0" fontId="0" fillId="2" borderId="18" xfId="0" applyFill="1" applyBorder="1"/>
    <xf numFmtId="0" fontId="0" fillId="2" borderId="19" xfId="0" applyFill="1" applyBorder="1" applyAlignment="1">
      <alignment wrapText="1"/>
    </xf>
    <xf numFmtId="0" fontId="0" fillId="2" borderId="19" xfId="0" applyFill="1" applyBorder="1"/>
    <xf numFmtId="164" fontId="0" fillId="0" borderId="19" xfId="91" applyNumberFormat="1" applyFont="1" applyBorder="1"/>
    <xf numFmtId="164" fontId="0" fillId="0" borderId="19" xfId="0" applyNumberFormat="1" applyBorder="1"/>
    <xf numFmtId="164" fontId="0" fillId="2" borderId="19" xfId="91" applyNumberFormat="1" applyFont="1" applyFill="1" applyBorder="1"/>
    <xf numFmtId="164" fontId="0" fillId="0" borderId="20" xfId="91" applyNumberFormat="1" applyFont="1" applyBorder="1"/>
    <xf numFmtId="0" fontId="0" fillId="2" borderId="21" xfId="0" applyFill="1" applyBorder="1"/>
    <xf numFmtId="0" fontId="0" fillId="2" borderId="22" xfId="0" applyFill="1" applyBorder="1" applyAlignment="1">
      <alignment wrapText="1"/>
    </xf>
    <xf numFmtId="0" fontId="0" fillId="2" borderId="22" xfId="0" applyFill="1" applyBorder="1"/>
    <xf numFmtId="164" fontId="0" fillId="0" borderId="22" xfId="91" applyNumberFormat="1" applyFont="1" applyBorder="1"/>
    <xf numFmtId="164" fontId="0" fillId="2" borderId="22" xfId="91" applyNumberFormat="1" applyFont="1" applyFill="1" applyBorder="1"/>
    <xf numFmtId="164" fontId="0" fillId="0" borderId="23" xfId="91" applyNumberFormat="1" applyFont="1" applyBorder="1"/>
    <xf numFmtId="0" fontId="20" fillId="3" borderId="0" xfId="93" applyFill="1"/>
    <xf numFmtId="0" fontId="0" fillId="2" borderId="84" xfId="0" applyFill="1" applyBorder="1"/>
    <xf numFmtId="164" fontId="0" fillId="0" borderId="57" xfId="91" applyNumberFormat="1" applyFont="1" applyBorder="1"/>
    <xf numFmtId="0" fontId="0" fillId="2" borderId="85" xfId="0" applyFill="1" applyBorder="1"/>
    <xf numFmtId="164" fontId="0" fillId="0" borderId="22" xfId="0" applyNumberFormat="1" applyBorder="1"/>
    <xf numFmtId="164" fontId="0" fillId="0" borderId="86" xfId="91" applyNumberFormat="1" applyFont="1" applyBorder="1"/>
    <xf numFmtId="0" fontId="27" fillId="2" borderId="88" xfId="0" applyFont="1" applyFill="1" applyBorder="1"/>
    <xf numFmtId="0" fontId="0" fillId="2" borderId="89" xfId="0" applyFill="1" applyBorder="1"/>
    <xf numFmtId="0" fontId="0" fillId="2" borderId="10" xfId="0" applyFill="1" applyBorder="1" applyAlignment="1">
      <alignment wrapText="1"/>
    </xf>
    <xf numFmtId="0" fontId="0" fillId="2" borderId="64" xfId="0" applyFill="1" applyBorder="1"/>
    <xf numFmtId="0" fontId="0" fillId="2" borderId="64" xfId="0" applyFill="1" applyBorder="1" applyAlignment="1">
      <alignment wrapText="1"/>
    </xf>
    <xf numFmtId="164" fontId="27" fillId="2" borderId="81" xfId="91" applyNumberFormat="1" applyFont="1" applyFill="1" applyBorder="1"/>
    <xf numFmtId="164" fontId="27" fillId="2" borderId="83" xfId="91" applyNumberFormat="1" applyFont="1" applyFill="1" applyBorder="1"/>
    <xf numFmtId="0" fontId="27" fillId="2" borderId="83" xfId="0" applyFont="1" applyFill="1" applyBorder="1"/>
    <xf numFmtId="164" fontId="0" fillId="2" borderId="1" xfId="91" applyNumberFormat="1" applyFont="1" applyFill="1" applyBorder="1" applyAlignment="1">
      <alignment horizontal="centerContinuous"/>
    </xf>
    <xf numFmtId="0" fontId="0" fillId="2" borderId="1" xfId="0" applyFill="1" applyBorder="1" applyAlignment="1">
      <alignment horizontal="centerContinuous"/>
    </xf>
    <xf numFmtId="164" fontId="0" fillId="2" borderId="1" xfId="91" applyNumberFormat="1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27" fillId="2" borderId="48" xfId="0" applyFont="1" applyFill="1" applyBorder="1" applyAlignment="1">
      <alignment horizontal="centerContinuous"/>
    </xf>
    <xf numFmtId="0" fontId="27" fillId="2" borderId="47" xfId="0" applyFont="1" applyFill="1" applyBorder="1" applyAlignment="1">
      <alignment horizontal="centerContinuous"/>
    </xf>
    <xf numFmtId="0" fontId="0" fillId="2" borderId="78" xfId="0" applyFill="1" applyBorder="1"/>
    <xf numFmtId="0" fontId="0" fillId="2" borderId="73" xfId="0" applyFill="1" applyBorder="1" applyAlignment="1">
      <alignment wrapText="1"/>
    </xf>
    <xf numFmtId="164" fontId="0" fillId="0" borderId="73" xfId="91" applyNumberFormat="1" applyFont="1" applyBorder="1"/>
    <xf numFmtId="0" fontId="0" fillId="2" borderId="73" xfId="0" applyFill="1" applyBorder="1"/>
    <xf numFmtId="164" fontId="0" fillId="2" borderId="73" xfId="91" applyNumberFormat="1" applyFont="1" applyFill="1" applyBorder="1"/>
    <xf numFmtId="164" fontId="0" fillId="0" borderId="91" xfId="91" applyNumberFormat="1" applyFont="1" applyBorder="1"/>
    <xf numFmtId="0" fontId="32" fillId="3" borderId="0" xfId="0" applyFont="1" applyFill="1"/>
    <xf numFmtId="0" fontId="0" fillId="2" borderId="12" xfId="0" applyFill="1" applyBorder="1" applyAlignment="1">
      <alignment vertical="center" wrapText="1"/>
    </xf>
    <xf numFmtId="164" fontId="0" fillId="2" borderId="12" xfId="91" applyNumberFormat="1" applyFont="1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88" xfId="0" applyFill="1" applyBorder="1" applyAlignment="1">
      <alignment horizontal="centerContinuous" vertical="center"/>
    </xf>
    <xf numFmtId="0" fontId="0" fillId="2" borderId="93" xfId="0" applyFill="1" applyBorder="1" applyAlignment="1">
      <alignment horizontal="centerContinuous" vertical="center"/>
    </xf>
    <xf numFmtId="0" fontId="0" fillId="2" borderId="3" xfId="0" applyFill="1" applyBorder="1" applyAlignment="1">
      <alignment vertical="center"/>
    </xf>
    <xf numFmtId="0" fontId="0" fillId="2" borderId="1" xfId="0" applyFill="1" applyBorder="1" applyAlignment="1">
      <alignment horizontal="centerContinuous" vertical="center"/>
    </xf>
    <xf numFmtId="0" fontId="0" fillId="2" borderId="40" xfId="0" applyFill="1" applyBorder="1" applyAlignment="1">
      <alignment horizontal="centerContinuous" vertical="center"/>
    </xf>
    <xf numFmtId="0" fontId="0" fillId="3" borderId="35" xfId="0" applyFill="1" applyBorder="1"/>
    <xf numFmtId="0" fontId="0" fillId="3" borderId="36" xfId="0" applyFill="1" applyBorder="1"/>
    <xf numFmtId="0" fontId="0" fillId="2" borderId="94" xfId="0" applyFill="1" applyBorder="1" applyAlignment="1">
      <alignment horizontal="centerContinuous" vertical="center"/>
    </xf>
    <xf numFmtId="2" fontId="0" fillId="3" borderId="15" xfId="0" applyNumberFormat="1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2" fontId="0" fillId="3" borderId="18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3" fontId="0" fillId="3" borderId="15" xfId="0" applyNumberFormat="1" applyFill="1" applyBorder="1" applyAlignment="1">
      <alignment horizontal="center"/>
    </xf>
    <xf numFmtId="3" fontId="0" fillId="3" borderId="18" xfId="0" applyNumberFormat="1" applyFill="1" applyBorder="1" applyAlignment="1">
      <alignment horizontal="center"/>
    </xf>
    <xf numFmtId="3" fontId="0" fillId="3" borderId="26" xfId="0" applyNumberFormat="1" applyFill="1" applyBorder="1" applyAlignment="1">
      <alignment horizontal="center"/>
    </xf>
    <xf numFmtId="3" fontId="0" fillId="3" borderId="27" xfId="0" applyNumberFormat="1" applyFill="1" applyBorder="1" applyAlignment="1">
      <alignment horizontal="center"/>
    </xf>
    <xf numFmtId="0" fontId="6" fillId="3" borderId="0" xfId="0" applyFont="1" applyFill="1" applyAlignment="1" applyProtection="1">
      <alignment horizontal="left" vertical="center"/>
      <protection hidden="1"/>
    </xf>
    <xf numFmtId="0" fontId="0" fillId="2" borderId="90" xfId="0" applyFill="1" applyBorder="1" applyAlignment="1">
      <alignment horizontal="center" wrapText="1"/>
    </xf>
    <xf numFmtId="0" fontId="0" fillId="2" borderId="87" xfId="0" applyFill="1" applyBorder="1" applyAlignment="1">
      <alignment horizontal="center" wrapText="1"/>
    </xf>
    <xf numFmtId="3" fontId="0" fillId="3" borderId="25" xfId="0" applyNumberFormat="1" applyFill="1" applyBorder="1" applyAlignment="1">
      <alignment horizontal="center"/>
    </xf>
    <xf numFmtId="3" fontId="0" fillId="3" borderId="97" xfId="0" applyNumberFormat="1" applyFill="1" applyBorder="1" applyAlignment="1">
      <alignment horizontal="center"/>
    </xf>
    <xf numFmtId="0" fontId="0" fillId="3" borderId="37" xfId="0" applyFill="1" applyBorder="1"/>
    <xf numFmtId="2" fontId="0" fillId="3" borderId="25" xfId="0" applyNumberFormat="1" applyFill="1" applyBorder="1" applyAlignment="1">
      <alignment horizontal="center"/>
    </xf>
    <xf numFmtId="0" fontId="0" fillId="3" borderId="101" xfId="0" applyFill="1" applyBorder="1" applyAlignment="1">
      <alignment horizontal="center"/>
    </xf>
    <xf numFmtId="3" fontId="27" fillId="3" borderId="103" xfId="0" applyNumberFormat="1" applyFont="1" applyFill="1" applyBorder="1" applyAlignment="1">
      <alignment horizontal="center" vertical="center"/>
    </xf>
    <xf numFmtId="3" fontId="27" fillId="3" borderId="104" xfId="0" applyNumberFormat="1" applyFont="1" applyFill="1" applyBorder="1" applyAlignment="1">
      <alignment horizontal="center" vertical="center"/>
    </xf>
    <xf numFmtId="0" fontId="27" fillId="3" borderId="105" xfId="0" applyFont="1" applyFill="1" applyBorder="1" applyAlignment="1">
      <alignment vertical="center"/>
    </xf>
    <xf numFmtId="0" fontId="35" fillId="2" borderId="88" xfId="0" applyFont="1" applyFill="1" applyBorder="1" applyAlignment="1">
      <alignment vertical="center"/>
    </xf>
    <xf numFmtId="0" fontId="35" fillId="2" borderId="64" xfId="0" applyFont="1" applyFill="1" applyBorder="1" applyAlignment="1">
      <alignment vertical="center"/>
    </xf>
    <xf numFmtId="0" fontId="35" fillId="2" borderId="96" xfId="0" applyFont="1" applyFill="1" applyBorder="1"/>
    <xf numFmtId="0" fontId="35" fillId="2" borderId="70" xfId="0" applyFont="1" applyFill="1" applyBorder="1"/>
    <xf numFmtId="0" fontId="35" fillId="2" borderId="100" xfId="0" applyFont="1" applyFill="1" applyBorder="1"/>
    <xf numFmtId="0" fontId="35" fillId="2" borderId="80" xfId="0" applyFont="1" applyFill="1" applyBorder="1" applyAlignment="1">
      <alignment vertical="center"/>
    </xf>
    <xf numFmtId="0" fontId="36" fillId="2" borderId="102" xfId="0" applyFont="1" applyFill="1" applyBorder="1" applyAlignment="1">
      <alignment vertical="center"/>
    </xf>
    <xf numFmtId="0" fontId="6" fillId="5" borderId="0" xfId="0" applyFont="1" applyFill="1" applyAlignment="1">
      <alignment vertical="center"/>
    </xf>
    <xf numFmtId="0" fontId="23" fillId="5" borderId="0" xfId="0" applyFont="1" applyFill="1" applyAlignment="1">
      <alignment vertical="center"/>
    </xf>
    <xf numFmtId="0" fontId="6" fillId="3" borderId="6" xfId="0" applyFont="1" applyFill="1" applyBorder="1" applyAlignment="1">
      <alignment vertical="center"/>
    </xf>
    <xf numFmtId="0" fontId="6" fillId="3" borderId="7" xfId="0" applyFont="1" applyFill="1" applyBorder="1" applyAlignment="1">
      <alignment vertical="center"/>
    </xf>
    <xf numFmtId="0" fontId="23" fillId="3" borderId="7" xfId="0" applyFont="1" applyFill="1" applyBorder="1" applyAlignment="1">
      <alignment vertical="center"/>
    </xf>
    <xf numFmtId="0" fontId="6" fillId="3" borderId="8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18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23" fillId="3" borderId="0" xfId="0" applyFont="1" applyFill="1" applyAlignment="1">
      <alignment vertical="center"/>
    </xf>
    <xf numFmtId="0" fontId="7" fillId="3" borderId="5" xfId="0" applyFont="1" applyFill="1" applyBorder="1" applyAlignment="1">
      <alignment vertical="center"/>
    </xf>
    <xf numFmtId="0" fontId="7" fillId="5" borderId="0" xfId="0" applyFont="1" applyFill="1" applyAlignment="1">
      <alignment vertical="center"/>
    </xf>
    <xf numFmtId="49" fontId="11" fillId="3" borderId="0" xfId="0" applyNumberFormat="1" applyFont="1" applyFill="1" applyAlignment="1">
      <alignment vertical="center"/>
    </xf>
    <xf numFmtId="49" fontId="37" fillId="3" borderId="0" xfId="0" applyNumberFormat="1" applyFont="1" applyFill="1" applyAlignment="1">
      <alignment vertical="center"/>
    </xf>
    <xf numFmtId="0" fontId="6" fillId="3" borderId="5" xfId="0" applyFont="1" applyFill="1" applyBorder="1" applyAlignment="1">
      <alignment vertical="center"/>
    </xf>
    <xf numFmtId="0" fontId="38" fillId="5" borderId="0" xfId="0" applyFont="1" applyFill="1" applyAlignment="1">
      <alignment vertical="center" wrapText="1"/>
    </xf>
    <xf numFmtId="0" fontId="11" fillId="5" borderId="0" xfId="0" applyFont="1" applyFill="1" applyAlignment="1">
      <alignment horizontal="left" vertical="center" wrapText="1"/>
    </xf>
    <xf numFmtId="0" fontId="11" fillId="5" borderId="0" xfId="0" applyFont="1" applyFill="1" applyAlignment="1">
      <alignment vertical="top" wrapText="1"/>
    </xf>
    <xf numFmtId="0" fontId="6" fillId="5" borderId="12" xfId="0" applyFont="1" applyFill="1" applyBorder="1" applyAlignment="1">
      <alignment vertical="center"/>
    </xf>
    <xf numFmtId="49" fontId="39" fillId="5" borderId="12" xfId="0" applyNumberFormat="1" applyFont="1" applyFill="1" applyBorder="1" applyAlignment="1">
      <alignment vertical="top"/>
    </xf>
    <xf numFmtId="49" fontId="39" fillId="5" borderId="12" xfId="0" applyNumberFormat="1" applyFont="1" applyFill="1" applyBorder="1" applyAlignment="1">
      <alignment vertical="top" wrapText="1"/>
    </xf>
    <xf numFmtId="49" fontId="40" fillId="5" borderId="12" xfId="0" applyNumberFormat="1" applyFont="1" applyFill="1" applyBorder="1" applyAlignment="1">
      <alignment vertical="top" wrapText="1"/>
    </xf>
    <xf numFmtId="0" fontId="7" fillId="3" borderId="7" xfId="0" applyFont="1" applyFill="1" applyBorder="1"/>
    <xf numFmtId="0" fontId="11" fillId="5" borderId="0" xfId="0" applyFont="1" applyFill="1" applyAlignment="1">
      <alignment horizontal="left" vertical="top" wrapText="1"/>
    </xf>
    <xf numFmtId="0" fontId="6" fillId="5" borderId="0" xfId="0" applyFont="1" applyFill="1"/>
    <xf numFmtId="0" fontId="42" fillId="5" borderId="0" xfId="0" applyFont="1" applyFill="1" applyAlignment="1">
      <alignment vertical="center" wrapText="1"/>
    </xf>
    <xf numFmtId="165" fontId="23" fillId="3" borderId="1" xfId="2" applyNumberFormat="1" applyFont="1" applyFill="1" applyBorder="1" applyAlignment="1" applyProtection="1">
      <alignment horizontal="center" vertical="center"/>
    </xf>
    <xf numFmtId="0" fontId="6" fillId="3" borderId="9" xfId="0" applyFont="1" applyFill="1" applyBorder="1" applyAlignment="1">
      <alignment vertical="center"/>
    </xf>
    <xf numFmtId="49" fontId="39" fillId="3" borderId="10" xfId="0" applyNumberFormat="1" applyFont="1" applyFill="1" applyBorder="1" applyAlignment="1">
      <alignment vertical="top"/>
    </xf>
    <xf numFmtId="49" fontId="39" fillId="3" borderId="10" xfId="0" applyNumberFormat="1" applyFont="1" applyFill="1" applyBorder="1" applyAlignment="1">
      <alignment vertical="top" wrapText="1"/>
    </xf>
    <xf numFmtId="0" fontId="6" fillId="3" borderId="10" xfId="0" applyFont="1" applyFill="1" applyBorder="1" applyAlignment="1">
      <alignment vertical="center"/>
    </xf>
    <xf numFmtId="49" fontId="40" fillId="3" borderId="10" xfId="0" applyNumberFormat="1" applyFont="1" applyFill="1" applyBorder="1" applyAlignment="1">
      <alignment vertical="top" wrapText="1"/>
    </xf>
    <xf numFmtId="0" fontId="6" fillId="3" borderId="11" xfId="0" applyFont="1" applyFill="1" applyBorder="1" applyAlignment="1">
      <alignment vertical="center"/>
    </xf>
    <xf numFmtId="49" fontId="6" fillId="5" borderId="0" xfId="0" applyNumberFormat="1" applyFont="1" applyFill="1" applyAlignment="1">
      <alignment vertical="center"/>
    </xf>
    <xf numFmtId="49" fontId="39" fillId="5" borderId="0" xfId="0" applyNumberFormat="1" applyFont="1" applyFill="1" applyAlignment="1">
      <alignment horizontal="left" vertical="top" wrapText="1"/>
    </xf>
    <xf numFmtId="9" fontId="0" fillId="0" borderId="0" xfId="0" applyNumberFormat="1"/>
    <xf numFmtId="0" fontId="29" fillId="3" borderId="0" xfId="0" applyFont="1" applyFill="1" applyProtection="1">
      <protection hidden="1"/>
    </xf>
    <xf numFmtId="0" fontId="12" fillId="3" borderId="0" xfId="0" applyFont="1" applyFill="1" applyAlignment="1" applyProtection="1">
      <alignment wrapText="1"/>
      <protection hidden="1"/>
    </xf>
    <xf numFmtId="0" fontId="1" fillId="3" borderId="0" xfId="0" applyFont="1" applyFill="1" applyProtection="1">
      <protection hidden="1"/>
    </xf>
    <xf numFmtId="0" fontId="13" fillId="3" borderId="0" xfId="0" applyFont="1" applyFill="1" applyProtection="1">
      <protection hidden="1"/>
    </xf>
    <xf numFmtId="0" fontId="1" fillId="3" borderId="0" xfId="0" quotePrefix="1" applyFont="1" applyFill="1" applyProtection="1">
      <protection hidden="1"/>
    </xf>
    <xf numFmtId="0" fontId="1" fillId="3" borderId="0" xfId="0" applyFont="1" applyFill="1" applyAlignment="1" applyProtection="1">
      <alignment wrapText="1"/>
      <protection hidden="1"/>
    </xf>
    <xf numFmtId="0" fontId="1" fillId="3" borderId="0" xfId="0" quotePrefix="1" applyFont="1" applyFill="1" applyAlignment="1" applyProtection="1">
      <alignment horizontal="left"/>
      <protection hidden="1"/>
    </xf>
    <xf numFmtId="0" fontId="20" fillId="3" borderId="0" xfId="93" quotePrefix="1" applyFill="1" applyAlignment="1" applyProtection="1">
      <protection hidden="1"/>
    </xf>
    <xf numFmtId="0" fontId="12" fillId="3" borderId="0" xfId="0" applyFont="1" applyFill="1" applyProtection="1">
      <protection hidden="1"/>
    </xf>
    <xf numFmtId="170" fontId="0" fillId="0" borderId="0" xfId="0" applyNumberFormat="1"/>
    <xf numFmtId="170" fontId="43" fillId="7" borderId="0" xfId="0" applyNumberFormat="1" applyFont="1" applyFill="1"/>
    <xf numFmtId="165" fontId="43" fillId="7" borderId="0" xfId="0" applyNumberFormat="1" applyFont="1" applyFill="1"/>
    <xf numFmtId="0" fontId="29" fillId="4" borderId="6" xfId="0" applyFont="1" applyFill="1" applyBorder="1" applyAlignment="1" applyProtection="1">
      <alignment horizontal="left" vertical="center"/>
      <protection hidden="1"/>
    </xf>
    <xf numFmtId="0" fontId="44" fillId="4" borderId="7" xfId="0" applyFont="1" applyFill="1" applyBorder="1" applyAlignment="1" applyProtection="1">
      <alignment horizontal="left" vertical="center" wrapText="1"/>
      <protection hidden="1"/>
    </xf>
    <xf numFmtId="0" fontId="29" fillId="4" borderId="55" xfId="0" applyFont="1" applyFill="1" applyBorder="1" applyAlignment="1" applyProtection="1">
      <alignment horizontal="left" vertical="center"/>
      <protection hidden="1"/>
    </xf>
    <xf numFmtId="0" fontId="44" fillId="4" borderId="71" xfId="0" applyFont="1" applyFill="1" applyBorder="1" applyAlignment="1" applyProtection="1">
      <alignment horizontal="left" vertical="center" wrapText="1"/>
      <protection hidden="1"/>
    </xf>
    <xf numFmtId="0" fontId="29" fillId="2" borderId="107" xfId="0" applyFont="1" applyFill="1" applyBorder="1" applyAlignment="1" applyProtection="1">
      <alignment horizontal="left" vertical="center"/>
      <protection hidden="1"/>
    </xf>
    <xf numFmtId="0" fontId="44" fillId="2" borderId="80" xfId="0" applyFont="1" applyFill="1" applyBorder="1" applyAlignment="1" applyProtection="1">
      <alignment horizontal="left" vertical="center" wrapText="1"/>
      <protection hidden="1"/>
    </xf>
    <xf numFmtId="170" fontId="29" fillId="2" borderId="80" xfId="0" applyNumberFormat="1" applyFont="1" applyFill="1" applyBorder="1" applyAlignment="1" applyProtection="1">
      <alignment horizontal="right" vertical="center" wrapText="1" indent="2"/>
      <protection hidden="1"/>
    </xf>
    <xf numFmtId="0" fontId="29" fillId="2" borderId="80" xfId="0" applyFont="1" applyFill="1" applyBorder="1" applyAlignment="1" applyProtection="1">
      <alignment horizontal="left" vertical="center" wrapText="1"/>
      <protection hidden="1"/>
    </xf>
    <xf numFmtId="167" fontId="29" fillId="2" borderId="80" xfId="0" applyNumberFormat="1" applyFont="1" applyFill="1" applyBorder="1" applyAlignment="1" applyProtection="1">
      <alignment horizontal="center" vertical="center" wrapText="1"/>
      <protection hidden="1"/>
    </xf>
    <xf numFmtId="0" fontId="29" fillId="2" borderId="80" xfId="0" applyFont="1" applyFill="1" applyBorder="1" applyAlignment="1" applyProtection="1">
      <alignment horizontal="center" vertical="center" wrapText="1"/>
      <protection hidden="1"/>
    </xf>
    <xf numFmtId="165" fontId="44" fillId="2" borderId="80" xfId="2" applyNumberFormat="1" applyFont="1" applyFill="1" applyBorder="1" applyAlignment="1" applyProtection="1">
      <alignment horizontal="center" vertical="center" wrapText="1"/>
      <protection locked="0"/>
    </xf>
    <xf numFmtId="165" fontId="29" fillId="2" borderId="48" xfId="2" applyNumberFormat="1" applyFont="1" applyFill="1" applyBorder="1" applyAlignment="1" applyProtection="1">
      <alignment horizontal="center" vertical="center" wrapText="1"/>
      <protection locked="0"/>
    </xf>
    <xf numFmtId="0" fontId="44" fillId="2" borderId="0" xfId="0" applyFont="1" applyFill="1" applyAlignment="1" applyProtection="1">
      <alignment horizontal="left" vertical="center" wrapText="1"/>
      <protection hidden="1"/>
    </xf>
    <xf numFmtId="0" fontId="44" fillId="4" borderId="14" xfId="0" applyFont="1" applyFill="1" applyBorder="1" applyAlignment="1" applyProtection="1">
      <alignment horizontal="left" vertical="center" wrapText="1"/>
      <protection hidden="1"/>
    </xf>
    <xf numFmtId="0" fontId="44" fillId="4" borderId="108" xfId="0" applyFont="1" applyFill="1" applyBorder="1" applyAlignment="1" applyProtection="1">
      <alignment horizontal="left" vertical="center" wrapText="1"/>
      <protection hidden="1"/>
    </xf>
    <xf numFmtId="0" fontId="44" fillId="2" borderId="46" xfId="0" applyFont="1" applyFill="1" applyBorder="1" applyAlignment="1" applyProtection="1">
      <alignment horizontal="left" vertical="center" wrapText="1"/>
      <protection hidden="1"/>
    </xf>
    <xf numFmtId="170" fontId="29" fillId="2" borderId="80" xfId="0" applyNumberFormat="1" applyFont="1" applyFill="1" applyBorder="1" applyAlignment="1" applyProtection="1">
      <alignment horizontal="right" vertical="center" wrapText="1"/>
      <protection hidden="1"/>
    </xf>
    <xf numFmtId="0" fontId="7" fillId="3" borderId="0" xfId="0" applyFont="1" applyFill="1"/>
    <xf numFmtId="0" fontId="6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41" fillId="3" borderId="0" xfId="0" applyFont="1" applyFill="1"/>
    <xf numFmtId="49" fontId="6" fillId="3" borderId="0" xfId="0" applyNumberFormat="1" applyFont="1" applyFill="1" applyAlignment="1">
      <alignment vertical="center"/>
    </xf>
    <xf numFmtId="49" fontId="6" fillId="3" borderId="0" xfId="0" applyNumberFormat="1" applyFont="1" applyFill="1" applyAlignment="1">
      <alignment vertical="top"/>
    </xf>
    <xf numFmtId="44" fontId="6" fillId="3" borderId="0" xfId="0" applyNumberFormat="1" applyFont="1" applyFill="1" applyAlignment="1">
      <alignment vertical="center" wrapText="1"/>
    </xf>
    <xf numFmtId="165" fontId="23" fillId="3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 applyProtection="1">
      <alignment horizontal="center" vertical="center"/>
      <protection locked="0"/>
    </xf>
    <xf numFmtId="0" fontId="23" fillId="3" borderId="1" xfId="0" applyFont="1" applyFill="1" applyBorder="1" applyAlignment="1" applyProtection="1">
      <alignment horizontal="center" vertical="center" wrapText="1"/>
      <protection locked="0" hidden="1"/>
    </xf>
    <xf numFmtId="0" fontId="23" fillId="3" borderId="1" xfId="0" applyFont="1" applyFill="1" applyBorder="1" applyAlignment="1" applyProtection="1">
      <alignment vertical="center" wrapText="1"/>
      <protection locked="0" hidden="1"/>
    </xf>
    <xf numFmtId="0" fontId="23" fillId="5" borderId="1" xfId="0" applyFont="1" applyFill="1" applyBorder="1" applyAlignment="1" applyProtection="1">
      <alignment horizontal="center" vertical="center" wrapText="1"/>
      <protection locked="0" hidden="1"/>
    </xf>
    <xf numFmtId="0" fontId="13" fillId="5" borderId="39" xfId="0" applyFont="1" applyFill="1" applyBorder="1" applyAlignment="1" applyProtection="1">
      <alignment horizontal="center" vertical="center" wrapText="1"/>
      <protection locked="0"/>
    </xf>
    <xf numFmtId="0" fontId="9" fillId="2" borderId="109" xfId="0" applyFont="1" applyFill="1" applyBorder="1" applyAlignment="1" applyProtection="1">
      <alignment horizontal="center" vertical="center" wrapText="1"/>
      <protection locked="0" hidden="1"/>
    </xf>
    <xf numFmtId="0" fontId="9" fillId="2" borderId="112" xfId="0" applyFont="1" applyFill="1" applyBorder="1" applyAlignment="1" applyProtection="1">
      <alignment horizontal="center" vertical="center" wrapText="1"/>
      <protection locked="0" hidden="1"/>
    </xf>
    <xf numFmtId="0" fontId="9" fillId="2" borderId="113" xfId="0" applyFont="1" applyFill="1" applyBorder="1" applyAlignment="1" applyProtection="1">
      <alignment horizontal="center" vertical="center" wrapText="1"/>
      <protection locked="0" hidden="1"/>
    </xf>
    <xf numFmtId="10" fontId="0" fillId="0" borderId="0" xfId="2" applyNumberFormat="1" applyFont="1"/>
    <xf numFmtId="10" fontId="43" fillId="7" borderId="0" xfId="0" applyNumberFormat="1" applyFont="1" applyFill="1"/>
    <xf numFmtId="10" fontId="0" fillId="0" borderId="0" xfId="0" applyNumberFormat="1"/>
    <xf numFmtId="49" fontId="7" fillId="3" borderId="0" xfId="0" applyNumberFormat="1" applyFont="1" applyFill="1" applyAlignment="1">
      <alignment vertical="center"/>
    </xf>
    <xf numFmtId="165" fontId="23" fillId="3" borderId="0" xfId="2" applyNumberFormat="1" applyFont="1" applyFill="1" applyBorder="1" applyAlignment="1" applyProtection="1">
      <alignment horizontal="center" vertical="center"/>
    </xf>
    <xf numFmtId="0" fontId="6" fillId="3" borderId="2" xfId="0" applyFont="1" applyFill="1" applyBorder="1" applyAlignment="1">
      <alignment vertical="center"/>
    </xf>
    <xf numFmtId="165" fontId="23" fillId="3" borderId="3" xfId="2" applyNumberFormat="1" applyFont="1" applyFill="1" applyBorder="1" applyAlignment="1" applyProtection="1">
      <alignment horizontal="center" vertical="center"/>
    </xf>
    <xf numFmtId="165" fontId="22" fillId="3" borderId="29" xfId="2" applyNumberFormat="1" applyFont="1" applyFill="1" applyBorder="1" applyAlignment="1" applyProtection="1">
      <alignment horizontal="center" vertical="center" wrapText="1"/>
    </xf>
    <xf numFmtId="165" fontId="22" fillId="3" borderId="45" xfId="2" applyNumberFormat="1" applyFont="1" applyFill="1" applyBorder="1" applyAlignment="1" applyProtection="1">
      <alignment horizontal="center" vertical="center" wrapText="1"/>
    </xf>
    <xf numFmtId="165" fontId="22" fillId="3" borderId="52" xfId="2" applyNumberFormat="1" applyFont="1" applyFill="1" applyBorder="1" applyAlignment="1" applyProtection="1">
      <alignment horizontal="center" vertical="center" wrapText="1"/>
    </xf>
    <xf numFmtId="165" fontId="22" fillId="3" borderId="75" xfId="2" applyNumberFormat="1" applyFont="1" applyFill="1" applyBorder="1" applyAlignment="1" applyProtection="1">
      <alignment horizontal="center" vertical="center" wrapText="1"/>
    </xf>
    <xf numFmtId="165" fontId="22" fillId="3" borderId="77" xfId="2" applyNumberFormat="1" applyFont="1" applyFill="1" applyBorder="1" applyAlignment="1" applyProtection="1">
      <alignment horizontal="center" vertical="center" wrapText="1"/>
    </xf>
    <xf numFmtId="165" fontId="22" fillId="3" borderId="49" xfId="2" applyNumberFormat="1" applyFont="1" applyFill="1" applyBorder="1" applyAlignment="1" applyProtection="1">
      <alignment horizontal="center" vertical="center" wrapText="1"/>
    </xf>
    <xf numFmtId="165" fontId="22" fillId="3" borderId="0" xfId="2" applyNumberFormat="1" applyFont="1" applyFill="1" applyBorder="1" applyAlignment="1" applyProtection="1">
      <alignment horizontal="center" vertical="center" wrapText="1"/>
    </xf>
    <xf numFmtId="165" fontId="22" fillId="3" borderId="76" xfId="2" applyNumberFormat="1" applyFont="1" applyFill="1" applyBorder="1" applyAlignment="1" applyProtection="1">
      <alignment horizontal="center" vertical="center" wrapText="1"/>
    </xf>
    <xf numFmtId="167" fontId="22" fillId="3" borderId="45" xfId="0" applyNumberFormat="1" applyFont="1" applyFill="1" applyBorder="1" applyAlignment="1">
      <alignment horizontal="center" vertical="center" wrapText="1"/>
    </xf>
    <xf numFmtId="167" fontId="22" fillId="3" borderId="36" xfId="0" applyNumberFormat="1" applyFont="1" applyFill="1" applyBorder="1" applyAlignment="1">
      <alignment horizontal="center" vertical="center" wrapText="1"/>
    </xf>
    <xf numFmtId="167" fontId="22" fillId="3" borderId="37" xfId="0" applyNumberFormat="1" applyFont="1" applyFill="1" applyBorder="1" applyAlignment="1">
      <alignment horizontal="center" vertical="center" wrapText="1"/>
    </xf>
    <xf numFmtId="167" fontId="1" fillId="0" borderId="110" xfId="0" applyNumberFormat="1" applyFont="1" applyBorder="1" applyAlignment="1" applyProtection="1">
      <alignment horizontal="center" vertical="center" wrapText="1"/>
      <protection hidden="1"/>
    </xf>
    <xf numFmtId="167" fontId="1" fillId="0" borderId="1" xfId="0" applyNumberFormat="1" applyFont="1" applyBorder="1" applyAlignment="1" applyProtection="1">
      <alignment horizontal="center" vertical="center" wrapText="1"/>
      <protection hidden="1"/>
    </xf>
    <xf numFmtId="167" fontId="1" fillId="0" borderId="114" xfId="0" applyNumberFormat="1" applyFont="1" applyBorder="1" applyAlignment="1" applyProtection="1">
      <alignment horizontal="center" vertical="center" wrapText="1"/>
      <protection hidden="1"/>
    </xf>
    <xf numFmtId="0" fontId="1" fillId="3" borderId="111" xfId="0" applyFont="1" applyFill="1" applyBorder="1" applyAlignment="1" applyProtection="1">
      <alignment horizontal="center" vertical="center" wrapText="1"/>
      <protection hidden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50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center" wrapText="1"/>
      <protection hidden="1"/>
    </xf>
    <xf numFmtId="170" fontId="29" fillId="3" borderId="2" xfId="0" applyNumberFormat="1" applyFont="1" applyFill="1" applyBorder="1" applyAlignment="1">
      <alignment horizontal="right" vertical="center" wrapText="1"/>
    </xf>
    <xf numFmtId="0" fontId="29" fillId="3" borderId="3" xfId="0" applyFont="1" applyFill="1" applyBorder="1" applyAlignment="1">
      <alignment horizontal="left" vertical="center" wrapText="1"/>
    </xf>
    <xf numFmtId="1" fontId="29" fillId="3" borderId="55" xfId="0" applyNumberFormat="1" applyFont="1" applyFill="1" applyBorder="1" applyAlignment="1">
      <alignment horizontal="right" vertical="center" wrapText="1" indent="1"/>
    </xf>
    <xf numFmtId="167" fontId="29" fillId="3" borderId="12" xfId="0" applyNumberFormat="1" applyFont="1" applyFill="1" applyBorder="1" applyAlignment="1">
      <alignment horizontal="center" vertical="center" wrapText="1"/>
    </xf>
    <xf numFmtId="0" fontId="29" fillId="3" borderId="12" xfId="0" applyFont="1" applyFill="1" applyBorder="1" applyAlignment="1">
      <alignment horizontal="center" vertical="center" wrapText="1"/>
    </xf>
    <xf numFmtId="167" fontId="29" fillId="3" borderId="71" xfId="0" applyNumberFormat="1" applyFont="1" applyFill="1" applyBorder="1" applyAlignment="1">
      <alignment horizontal="center" vertical="center" wrapText="1"/>
    </xf>
    <xf numFmtId="0" fontId="29" fillId="3" borderId="71" xfId="0" applyFont="1" applyFill="1" applyBorder="1" applyAlignment="1">
      <alignment horizontal="center" vertical="center" wrapText="1"/>
    </xf>
    <xf numFmtId="165" fontId="44" fillId="3" borderId="78" xfId="2" applyNumberFormat="1" applyFont="1" applyFill="1" applyBorder="1" applyAlignment="1" applyProtection="1">
      <alignment horizontal="center" vertical="center" wrapText="1"/>
    </xf>
    <xf numFmtId="165" fontId="44" fillId="3" borderId="62" xfId="2" applyNumberFormat="1" applyFont="1" applyFill="1" applyBorder="1" applyAlignment="1" applyProtection="1">
      <alignment horizontal="center" vertical="center" wrapText="1"/>
    </xf>
    <xf numFmtId="165" fontId="44" fillId="3" borderId="12" xfId="2" applyNumberFormat="1" applyFont="1" applyFill="1" applyBorder="1" applyAlignment="1" applyProtection="1">
      <alignment horizontal="center" vertical="center" wrapText="1"/>
    </xf>
    <xf numFmtId="165" fontId="29" fillId="3" borderId="40" xfId="2" applyNumberFormat="1" applyFont="1" applyFill="1" applyBorder="1" applyAlignment="1" applyProtection="1">
      <alignment horizontal="center" vertical="center" wrapText="1"/>
    </xf>
    <xf numFmtId="165" fontId="44" fillId="3" borderId="79" xfId="2" applyNumberFormat="1" applyFont="1" applyFill="1" applyBorder="1" applyAlignment="1" applyProtection="1">
      <alignment horizontal="center" vertical="center" wrapText="1"/>
    </xf>
    <xf numFmtId="165" fontId="44" fillId="3" borderId="72" xfId="2" applyNumberFormat="1" applyFont="1" applyFill="1" applyBorder="1" applyAlignment="1" applyProtection="1">
      <alignment horizontal="center" vertical="center" wrapText="1"/>
    </xf>
    <xf numFmtId="165" fontId="44" fillId="3" borderId="71" xfId="2" applyNumberFormat="1" applyFont="1" applyFill="1" applyBorder="1" applyAlignment="1" applyProtection="1">
      <alignment horizontal="center" vertical="center" wrapText="1"/>
    </xf>
    <xf numFmtId="165" fontId="29" fillId="3" borderId="50" xfId="2" applyNumberFormat="1" applyFont="1" applyFill="1" applyBorder="1" applyAlignment="1" applyProtection="1">
      <alignment horizontal="center" vertical="center" wrapText="1"/>
    </xf>
    <xf numFmtId="10" fontId="0" fillId="3" borderId="0" xfId="0" applyNumberFormat="1" applyFill="1"/>
    <xf numFmtId="165" fontId="43" fillId="0" borderId="0" xfId="0" applyNumberFormat="1" applyFont="1"/>
    <xf numFmtId="170" fontId="43" fillId="0" borderId="0" xfId="0" applyNumberFormat="1" applyFont="1"/>
    <xf numFmtId="170" fontId="0" fillId="7" borderId="0" xfId="0" applyNumberFormat="1" applyFill="1"/>
    <xf numFmtId="10" fontId="0" fillId="7" borderId="0" xfId="0" applyNumberFormat="1" applyFill="1"/>
    <xf numFmtId="0" fontId="0" fillId="7" borderId="0" xfId="0" applyFill="1"/>
    <xf numFmtId="0" fontId="0" fillId="0" borderId="118" xfId="0" applyBorder="1"/>
    <xf numFmtId="0" fontId="29" fillId="3" borderId="106" xfId="0" applyFont="1" applyFill="1" applyBorder="1" applyAlignment="1">
      <alignment horizontal="left" vertical="center" wrapText="1"/>
    </xf>
    <xf numFmtId="0" fontId="13" fillId="0" borderId="0" xfId="0" applyFont="1" applyAlignment="1" applyProtection="1">
      <alignment wrapText="1"/>
      <protection hidden="1"/>
    </xf>
    <xf numFmtId="0" fontId="6" fillId="3" borderId="0" xfId="0" applyFont="1" applyFill="1" applyAlignment="1" applyProtection="1">
      <alignment horizontal="left" vertical="center" wrapText="1"/>
      <protection hidden="1"/>
    </xf>
    <xf numFmtId="0" fontId="6" fillId="3" borderId="0" xfId="5" applyFill="1" applyAlignment="1" applyProtection="1">
      <alignment horizontal="left" vertical="center" wrapText="1"/>
      <protection hidden="1"/>
    </xf>
    <xf numFmtId="0" fontId="16" fillId="3" borderId="0" xfId="0" applyFont="1" applyFill="1" applyAlignment="1" applyProtection="1">
      <alignment horizontal="left" vertical="center" wrapText="1"/>
      <protection hidden="1"/>
    </xf>
    <xf numFmtId="0" fontId="23" fillId="5" borderId="115" xfId="0" applyFont="1" applyFill="1" applyBorder="1" applyProtection="1">
      <protection locked="0"/>
    </xf>
    <xf numFmtId="0" fontId="32" fillId="5" borderId="116" xfId="0" applyFont="1" applyFill="1" applyBorder="1" applyProtection="1">
      <protection locked="0"/>
    </xf>
    <xf numFmtId="0" fontId="32" fillId="5" borderId="117" xfId="0" applyFont="1" applyFill="1" applyBorder="1" applyProtection="1">
      <protection locked="0"/>
    </xf>
    <xf numFmtId="0" fontId="1" fillId="0" borderId="0" xfId="0" applyFont="1" applyAlignment="1" applyProtection="1">
      <alignment wrapText="1"/>
      <protection hidden="1"/>
    </xf>
    <xf numFmtId="0" fontId="0" fillId="0" borderId="0" xfId="0" applyAlignment="1">
      <alignment wrapText="1"/>
    </xf>
    <xf numFmtId="0" fontId="9" fillId="2" borderId="41" xfId="0" applyFont="1" applyFill="1" applyBorder="1" applyAlignment="1" applyProtection="1">
      <alignment horizontal="center" vertical="center" wrapText="1"/>
      <protection hidden="1"/>
    </xf>
    <xf numFmtId="0" fontId="0" fillId="0" borderId="42" xfId="0" applyBorder="1" applyAlignment="1">
      <alignment horizontal="center" vertical="center" wrapText="1"/>
    </xf>
    <xf numFmtId="0" fontId="0" fillId="2" borderId="51" xfId="0" applyFill="1" applyBorder="1" applyAlignment="1">
      <alignment horizontal="center" vertical="center" wrapText="1"/>
    </xf>
    <xf numFmtId="0" fontId="0" fillId="0" borderId="56" xfId="0" applyBorder="1" applyAlignment="1">
      <alignment vertical="center" wrapText="1"/>
    </xf>
    <xf numFmtId="0" fontId="9" fillId="2" borderId="43" xfId="0" applyFont="1" applyFill="1" applyBorder="1" applyAlignment="1" applyProtection="1">
      <alignment horizontal="center" vertical="center" wrapText="1"/>
      <protection hidden="1"/>
    </xf>
    <xf numFmtId="0" fontId="0" fillId="0" borderId="44" xfId="0" applyBorder="1" applyAlignment="1">
      <alignment vertical="center" wrapText="1"/>
    </xf>
    <xf numFmtId="0" fontId="9" fillId="2" borderId="15" xfId="0" applyFont="1" applyFill="1" applyBorder="1" applyAlignment="1" applyProtection="1">
      <alignment horizontal="center" vertical="center" wrapText="1"/>
      <protection hidden="1"/>
    </xf>
    <xf numFmtId="0" fontId="9" fillId="2" borderId="21" xfId="0" applyFont="1" applyFill="1" applyBorder="1" applyAlignment="1" applyProtection="1">
      <alignment horizontal="center" vertical="center" wrapText="1"/>
      <protection hidden="1"/>
    </xf>
    <xf numFmtId="0" fontId="0" fillId="2" borderId="42" xfId="0" applyFill="1" applyBorder="1" applyAlignment="1">
      <alignment horizontal="center" vertical="center" wrapText="1"/>
    </xf>
    <xf numFmtId="0" fontId="0" fillId="2" borderId="92" xfId="0" applyFill="1" applyBorder="1" applyAlignment="1">
      <alignment vertical="center"/>
    </xf>
    <xf numFmtId="0" fontId="0" fillId="0" borderId="88" xfId="0" applyBorder="1" applyAlignment="1">
      <alignment vertical="center"/>
    </xf>
    <xf numFmtId="0" fontId="0" fillId="0" borderId="63" xfId="0" applyBorder="1" applyAlignment="1">
      <alignment vertical="center"/>
    </xf>
    <xf numFmtId="0" fontId="0" fillId="0" borderId="64" xfId="0" applyBorder="1" applyAlignment="1">
      <alignment vertical="center"/>
    </xf>
    <xf numFmtId="164" fontId="0" fillId="2" borderId="64" xfId="91" applyNumberFormat="1" applyFont="1" applyFill="1" applyBorder="1" applyAlignment="1">
      <alignment horizontal="center" vertical="center"/>
    </xf>
    <xf numFmtId="164" fontId="0" fillId="2" borderId="88" xfId="91" applyNumberFormat="1" applyFont="1" applyFill="1" applyBorder="1" applyAlignment="1">
      <alignment horizontal="center" vertical="center"/>
    </xf>
    <xf numFmtId="3" fontId="27" fillId="3" borderId="102" xfId="91" applyNumberFormat="1" applyFont="1" applyFill="1" applyBorder="1" applyAlignment="1">
      <alignment horizontal="center" vertical="center"/>
    </xf>
    <xf numFmtId="3" fontId="27" fillId="0" borderId="48" xfId="0" applyNumberFormat="1" applyFont="1" applyBorder="1" applyAlignment="1">
      <alignment horizontal="center" vertical="center"/>
    </xf>
    <xf numFmtId="0" fontId="0" fillId="5" borderId="99" xfId="0" applyFill="1" applyBorder="1" applyProtection="1">
      <protection locked="0"/>
    </xf>
    <xf numFmtId="0" fontId="0" fillId="5" borderId="13" xfId="0" applyFill="1" applyBorder="1" applyProtection="1">
      <protection locked="0"/>
    </xf>
    <xf numFmtId="3" fontId="0" fillId="5" borderId="33" xfId="91" applyNumberFormat="1" applyFont="1" applyFill="1" applyBorder="1" applyAlignment="1" applyProtection="1">
      <alignment horizontal="center" vertical="center"/>
      <protection locked="0"/>
    </xf>
    <xf numFmtId="3" fontId="0" fillId="5" borderId="24" xfId="0" applyNumberFormat="1" applyFill="1" applyBorder="1" applyAlignment="1" applyProtection="1">
      <alignment horizontal="center" vertical="center"/>
      <protection locked="0"/>
    </xf>
    <xf numFmtId="3" fontId="0" fillId="5" borderId="34" xfId="91" applyNumberFormat="1" applyFont="1" applyFill="1" applyBorder="1" applyAlignment="1" applyProtection="1">
      <alignment horizontal="center" vertical="center"/>
      <protection locked="0"/>
    </xf>
    <xf numFmtId="3" fontId="0" fillId="5" borderId="95" xfId="0" applyNumberFormat="1" applyFill="1" applyBorder="1" applyAlignment="1" applyProtection="1">
      <alignment horizontal="center" vertical="center"/>
      <protection locked="0"/>
    </xf>
    <xf numFmtId="3" fontId="0" fillId="5" borderId="99" xfId="91" applyNumberFormat="1" applyFont="1" applyFill="1" applyBorder="1" applyAlignment="1" applyProtection="1">
      <alignment horizontal="center" vertical="center"/>
      <protection locked="0"/>
    </xf>
    <xf numFmtId="3" fontId="0" fillId="5" borderId="98" xfId="0" applyNumberFormat="1" applyFill="1" applyBorder="1" applyAlignment="1" applyProtection="1">
      <alignment horizontal="center" vertical="center"/>
      <protection locked="0"/>
    </xf>
    <xf numFmtId="0" fontId="0" fillId="5" borderId="33" xfId="0" applyFill="1" applyBorder="1" applyProtection="1">
      <protection locked="0"/>
    </xf>
    <xf numFmtId="0" fontId="0" fillId="5" borderId="30" xfId="0" applyFill="1" applyBorder="1" applyProtection="1">
      <protection locked="0"/>
    </xf>
    <xf numFmtId="0" fontId="0" fillId="5" borderId="34" xfId="0" applyFill="1" applyBorder="1" applyProtection="1">
      <protection locked="0"/>
    </xf>
    <xf numFmtId="0" fontId="0" fillId="5" borderId="31" xfId="0" applyFill="1" applyBorder="1" applyProtection="1">
      <protection locked="0"/>
    </xf>
    <xf numFmtId="167" fontId="0" fillId="3" borderId="97" xfId="0" applyNumberFormat="1" applyFill="1" applyBorder="1" applyAlignment="1">
      <alignment horizontal="center"/>
    </xf>
    <xf numFmtId="167" fontId="0" fillId="0" borderId="98" xfId="0" applyNumberFormat="1" applyBorder="1" applyAlignment="1">
      <alignment horizontal="center"/>
    </xf>
    <xf numFmtId="167" fontId="27" fillId="3" borderId="104" xfId="0" applyNumberFormat="1" applyFont="1" applyFill="1" applyBorder="1" applyAlignment="1">
      <alignment horizontal="center" vertical="center"/>
    </xf>
    <xf numFmtId="167" fontId="27" fillId="0" borderId="106" xfId="0" applyNumberFormat="1" applyFont="1" applyBorder="1" applyAlignment="1">
      <alignment horizontal="center" vertical="center"/>
    </xf>
    <xf numFmtId="167" fontId="0" fillId="3" borderId="26" xfId="0" applyNumberFormat="1" applyFill="1" applyBorder="1" applyAlignment="1">
      <alignment horizontal="center"/>
    </xf>
    <xf numFmtId="167" fontId="0" fillId="0" borderId="24" xfId="0" applyNumberFormat="1" applyBorder="1" applyAlignment="1">
      <alignment horizontal="center"/>
    </xf>
    <xf numFmtId="167" fontId="0" fillId="3" borderId="27" xfId="0" applyNumberFormat="1" applyFill="1" applyBorder="1" applyAlignment="1">
      <alignment horizontal="center"/>
    </xf>
    <xf numFmtId="167" fontId="0" fillId="0" borderId="95" xfId="0" applyNumberFormat="1" applyBorder="1" applyAlignment="1">
      <alignment horizontal="center"/>
    </xf>
    <xf numFmtId="49" fontId="39" fillId="5" borderId="0" xfId="0" applyNumberFormat="1" applyFont="1" applyFill="1" applyAlignment="1">
      <alignment horizontal="left" vertical="top" wrapText="1"/>
    </xf>
    <xf numFmtId="49" fontId="6" fillId="5" borderId="0" xfId="0" applyNumberFormat="1" applyFont="1" applyFill="1" applyAlignment="1">
      <alignment wrapText="1"/>
    </xf>
  </cellXfs>
  <cellStyles count="94">
    <cellStyle name="Comma" xfId="1" builtinId="3"/>
    <cellStyle name="Comma 2" xfId="89" xr:uid="{00000000-0005-0000-0000-000001000000}"/>
    <cellStyle name="Comma 3" xfId="91" xr:uid="{00000000-0005-0000-0000-000002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93" builtinId="8"/>
    <cellStyle name="Normal" xfId="0" builtinId="0"/>
    <cellStyle name="Normal 2" xfId="4" xr:uid="{00000000-0005-0000-0000-000057000000}"/>
    <cellStyle name="Normal 2 2" xfId="5" xr:uid="{00000000-0005-0000-0000-000058000000}"/>
    <cellStyle name="Normal 2 2 2" xfId="90" xr:uid="{00000000-0005-0000-0000-000059000000}"/>
    <cellStyle name="Normal 2 3" xfId="88" xr:uid="{00000000-0005-0000-0000-00005A000000}"/>
    <cellStyle name="Percent" xfId="2" builtinId="5"/>
    <cellStyle name="Percent 2" xfId="92" xr:uid="{00000000-0005-0000-0000-00005C000000}"/>
    <cellStyle name="Percent 3" xfId="3" xr:uid="{00000000-0005-0000-0000-00005D000000}"/>
  </cellStyles>
  <dxfs count="3"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9" defaultPivotStyle="PivotStyleLight16"/>
  <colors>
    <mruColors>
      <color rgb="FFFFFFCC"/>
      <color rgb="FFDDDDDD"/>
      <color rgb="FFFADA63"/>
      <color rgb="FF00AD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21167</xdr:colOff>
      <xdr:row>1</xdr:row>
      <xdr:rowOff>21167</xdr:rowOff>
    </xdr:from>
    <xdr:to>
      <xdr:col>3</xdr:col>
      <xdr:colOff>160073</xdr:colOff>
      <xdr:row>3</xdr:row>
      <xdr:rowOff>75406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F2C3DD05-4E0A-4DBF-BF42-2C029BBA7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01084" y="211667"/>
          <a:ext cx="763322" cy="7739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reen-e.org/docs/energy/framework/Green-e%20Framework%20for%20Renewable%20Energy%20Certification.pd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portfoliomanager.energystar.gov/pdf/reference/US%20National%20Median%20Table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M31"/>
  <sheetViews>
    <sheetView showGridLines="0" tabSelected="1" zoomScale="90" zoomScaleNormal="90" zoomScalePageLayoutView="90" workbookViewId="0">
      <selection activeCell="J8" sqref="J8"/>
    </sheetView>
  </sheetViews>
  <sheetFormatPr defaultColWidth="8.85546875" defaultRowHeight="15" customHeight="1"/>
  <cols>
    <col min="1" max="1" width="2.7109375" style="3" customWidth="1"/>
    <col min="2" max="2" width="2.42578125" style="3" customWidth="1"/>
    <col min="3" max="3" width="7" style="3" customWidth="1"/>
    <col min="4" max="4" width="2.7109375" style="3" customWidth="1"/>
    <col min="5" max="5" width="5.7109375" style="3" customWidth="1"/>
    <col min="6" max="6" width="12.7109375" style="3" customWidth="1"/>
    <col min="7" max="7" width="18.7109375" style="3" customWidth="1"/>
    <col min="8" max="8" width="15.7109375" style="3" customWidth="1"/>
    <col min="9" max="9" width="12.140625" style="3" customWidth="1"/>
    <col min="10" max="10" width="18.7109375" style="3" customWidth="1"/>
    <col min="11" max="12" width="2.7109375" style="3" customWidth="1"/>
    <col min="13" max="13" width="12" style="3" hidden="1" customWidth="1"/>
    <col min="14" max="16384" width="8.85546875" style="3"/>
  </cols>
  <sheetData>
    <row r="2" spans="1:11" ht="15" customHeight="1">
      <c r="B2" s="12"/>
      <c r="C2" s="13"/>
      <c r="D2" s="13"/>
      <c r="E2" s="14"/>
      <c r="F2" s="14"/>
      <c r="G2" s="14"/>
      <c r="H2" s="15"/>
      <c r="I2" s="15"/>
      <c r="J2" s="15"/>
      <c r="K2" s="16"/>
    </row>
    <row r="3" spans="1:11" s="33" customFormat="1" ht="42" customHeight="1">
      <c r="A3" s="29"/>
      <c r="B3" s="30"/>
      <c r="C3" s="31"/>
      <c r="D3" s="6"/>
      <c r="E3" s="371" t="s">
        <v>12</v>
      </c>
      <c r="F3" s="371"/>
      <c r="G3" s="371"/>
      <c r="H3" s="371"/>
      <c r="I3" s="371"/>
      <c r="J3" s="371"/>
      <c r="K3" s="32"/>
    </row>
    <row r="4" spans="1:11" ht="21" customHeight="1">
      <c r="B4" s="17"/>
      <c r="C4" s="7"/>
      <c r="D4" s="2"/>
      <c r="E4" s="8"/>
      <c r="F4" s="8"/>
      <c r="G4" s="8"/>
      <c r="H4" s="7"/>
      <c r="I4" s="7"/>
      <c r="J4" s="2"/>
      <c r="K4" s="18"/>
    </row>
    <row r="5" spans="1:11" s="49" customFormat="1" ht="21" customHeight="1">
      <c r="B5" s="50"/>
      <c r="C5" s="51"/>
      <c r="D5" s="52"/>
      <c r="E5" s="53" t="s">
        <v>7</v>
      </c>
      <c r="F5" s="53"/>
      <c r="G5" s="54"/>
      <c r="H5" s="55"/>
      <c r="I5" s="55"/>
      <c r="J5" s="56"/>
      <c r="K5" s="18"/>
    </row>
    <row r="6" spans="1:11" ht="15" customHeight="1">
      <c r="B6" s="17"/>
      <c r="C6" s="2"/>
      <c r="D6" s="2"/>
      <c r="E6" s="5"/>
      <c r="F6" s="5"/>
      <c r="G6" s="5"/>
      <c r="H6" s="2"/>
      <c r="I6" s="2"/>
      <c r="J6" s="2"/>
      <c r="K6" s="18"/>
    </row>
    <row r="7" spans="1:11" ht="15" customHeight="1">
      <c r="A7" s="4"/>
      <c r="B7" s="19"/>
      <c r="C7" s="2"/>
      <c r="D7" s="9"/>
      <c r="E7" s="24" t="s">
        <v>0</v>
      </c>
      <c r="F7" s="24"/>
      <c r="G7" s="24"/>
      <c r="H7" s="10"/>
      <c r="I7" s="5"/>
      <c r="J7" s="2"/>
      <c r="K7" s="20"/>
    </row>
    <row r="8" spans="1:11" ht="15" customHeight="1">
      <c r="B8" s="17"/>
      <c r="C8" s="2"/>
      <c r="D8" s="2"/>
      <c r="E8" s="5" t="s">
        <v>8</v>
      </c>
      <c r="F8" s="5"/>
      <c r="G8" s="5"/>
      <c r="H8" s="2"/>
      <c r="I8" s="2"/>
      <c r="J8" s="41" t="s">
        <v>320</v>
      </c>
      <c r="K8" s="18"/>
    </row>
    <row r="9" spans="1:11" s="49" customFormat="1" ht="21" customHeight="1">
      <c r="B9" s="50"/>
      <c r="C9" s="51"/>
      <c r="D9" s="52"/>
      <c r="E9" s="53" t="s">
        <v>9</v>
      </c>
      <c r="F9" s="53"/>
      <c r="G9" s="54"/>
      <c r="H9" s="55"/>
      <c r="I9" s="55"/>
      <c r="J9" s="56"/>
      <c r="K9" s="18"/>
    </row>
    <row r="10" spans="1:11" ht="15" customHeight="1">
      <c r="B10" s="17"/>
      <c r="C10" s="2"/>
      <c r="D10" s="2"/>
      <c r="E10" s="5"/>
      <c r="F10" s="5"/>
      <c r="G10" s="5"/>
      <c r="H10" s="2"/>
      <c r="I10" s="2"/>
      <c r="J10" s="2"/>
      <c r="K10" s="18"/>
    </row>
    <row r="11" spans="1:11" ht="15" customHeight="1">
      <c r="B11" s="17"/>
      <c r="C11" s="2"/>
      <c r="D11" s="2"/>
      <c r="E11" s="24" t="s">
        <v>138</v>
      </c>
      <c r="F11" s="24"/>
      <c r="G11" s="24"/>
      <c r="H11" s="2"/>
      <c r="I11" s="2"/>
      <c r="J11" s="2"/>
      <c r="K11" s="18"/>
    </row>
    <row r="12" spans="1:11" ht="15" customHeight="1">
      <c r="B12" s="17"/>
      <c r="C12" s="2"/>
      <c r="D12" s="2"/>
      <c r="E12" s="5" t="s">
        <v>330</v>
      </c>
      <c r="F12" s="5"/>
      <c r="G12" s="5"/>
      <c r="H12" s="372" t="s">
        <v>332</v>
      </c>
      <c r="I12" s="373"/>
      <c r="J12" s="374"/>
      <c r="K12" s="18"/>
    </row>
    <row r="13" spans="1:11" ht="15" customHeight="1">
      <c r="B13" s="17"/>
      <c r="C13" s="2"/>
      <c r="D13" s="2"/>
      <c r="E13" s="60"/>
      <c r="F13" s="60"/>
      <c r="G13" s="60"/>
      <c r="H13" s="60"/>
      <c r="I13" s="60"/>
      <c r="J13" s="60"/>
      <c r="K13" s="18"/>
    </row>
    <row r="14" spans="1:11" ht="15" customHeight="1">
      <c r="B14" s="17"/>
      <c r="C14" s="2"/>
      <c r="D14" s="2"/>
      <c r="E14" s="5"/>
      <c r="F14" s="5"/>
      <c r="G14" s="5"/>
      <c r="H14" s="2"/>
      <c r="I14" s="2"/>
      <c r="J14" s="2"/>
      <c r="K14" s="18"/>
    </row>
    <row r="15" spans="1:11" ht="15" customHeight="1">
      <c r="B15" s="17"/>
      <c r="C15" s="2"/>
      <c r="D15" s="2"/>
      <c r="E15" s="24" t="s">
        <v>3</v>
      </c>
      <c r="F15" s="24"/>
      <c r="G15" s="24"/>
      <c r="H15" s="2"/>
      <c r="I15" s="2"/>
      <c r="J15" s="2"/>
      <c r="K15" s="18"/>
    </row>
    <row r="16" spans="1:11" ht="15" customHeight="1">
      <c r="B16" s="17"/>
      <c r="C16" s="2"/>
      <c r="D16" s="2"/>
      <c r="E16" s="369" t="s">
        <v>265</v>
      </c>
      <c r="F16" s="369"/>
      <c r="G16" s="369"/>
      <c r="H16" s="369"/>
      <c r="I16" s="369"/>
      <c r="J16" s="369"/>
      <c r="K16" s="18"/>
    </row>
    <row r="17" spans="2:13" ht="15" customHeight="1">
      <c r="B17" s="17"/>
      <c r="C17" s="2"/>
      <c r="D17" s="2"/>
      <c r="E17" s="220" t="s">
        <v>266</v>
      </c>
      <c r="F17" s="60"/>
      <c r="G17" s="60"/>
      <c r="H17" s="60"/>
      <c r="I17" s="60"/>
      <c r="J17" s="60"/>
      <c r="K17" s="18"/>
    </row>
    <row r="18" spans="2:13" ht="15" customHeight="1">
      <c r="B18" s="17"/>
      <c r="C18" s="2"/>
      <c r="D18" s="2"/>
      <c r="E18" s="60"/>
      <c r="F18" s="60"/>
      <c r="G18" s="60"/>
      <c r="H18" s="60"/>
      <c r="I18" s="60"/>
      <c r="J18" s="60"/>
      <c r="K18" s="18"/>
    </row>
    <row r="19" spans="2:13" ht="15" customHeight="1">
      <c r="B19" s="17"/>
      <c r="C19" s="2"/>
      <c r="D19" s="2"/>
      <c r="E19" s="24" t="s">
        <v>1</v>
      </c>
      <c r="F19" s="24"/>
      <c r="G19" s="24"/>
      <c r="H19" s="2"/>
      <c r="I19" s="2"/>
      <c r="J19" s="2"/>
      <c r="K19" s="18"/>
    </row>
    <row r="20" spans="2:13" ht="14.25" customHeight="1">
      <c r="B20" s="17"/>
      <c r="C20" s="2"/>
      <c r="D20" s="2"/>
      <c r="E20" s="369" t="s">
        <v>13</v>
      </c>
      <c r="F20" s="369"/>
      <c r="G20" s="369"/>
      <c r="H20" s="369"/>
      <c r="I20" s="369"/>
      <c r="J20" s="369"/>
      <c r="K20" s="18"/>
    </row>
    <row r="21" spans="2:13" ht="15" customHeight="1">
      <c r="B21" s="17"/>
      <c r="C21" s="2"/>
      <c r="D21" s="2"/>
      <c r="E21" s="11"/>
      <c r="F21" s="11"/>
      <c r="G21" s="11"/>
      <c r="H21" s="2"/>
      <c r="I21" s="2"/>
      <c r="J21" s="2"/>
      <c r="K21" s="18"/>
    </row>
    <row r="22" spans="2:13" s="34" customFormat="1" ht="15" customHeight="1">
      <c r="B22" s="35"/>
      <c r="C22" s="36"/>
      <c r="D22" s="8"/>
      <c r="E22" s="25" t="s">
        <v>1</v>
      </c>
      <c r="F22" s="25"/>
      <c r="G22" s="25"/>
      <c r="H22" s="8"/>
      <c r="I22" s="37"/>
      <c r="J22" s="36"/>
      <c r="K22" s="38"/>
    </row>
    <row r="23" spans="2:13" s="34" customFormat="1" ht="40.5" customHeight="1">
      <c r="B23" s="35"/>
      <c r="C23" s="39"/>
      <c r="D23" s="8"/>
      <c r="E23" s="370" t="s">
        <v>303</v>
      </c>
      <c r="F23" s="370"/>
      <c r="G23" s="370"/>
      <c r="H23" s="370"/>
      <c r="I23" s="370"/>
      <c r="J23" s="370"/>
      <c r="K23" s="38"/>
    </row>
    <row r="24" spans="2:13" ht="24.75" customHeight="1">
      <c r="B24" s="21"/>
      <c r="C24" s="22"/>
      <c r="D24" s="22"/>
      <c r="E24" s="22"/>
      <c r="F24" s="22"/>
      <c r="G24" s="22"/>
      <c r="H24" s="22"/>
      <c r="I24" s="22"/>
      <c r="J24" s="22"/>
      <c r="K24" s="23"/>
    </row>
    <row r="25" spans="2:13" ht="9" customHeight="1"/>
    <row r="26" spans="2:13" ht="12" customHeight="1">
      <c r="K26" s="58" t="s">
        <v>358</v>
      </c>
      <c r="M26" s="315" t="s">
        <v>4</v>
      </c>
    </row>
    <row r="27" spans="2:13" ht="12" customHeight="1">
      <c r="K27" s="58" t="s">
        <v>357</v>
      </c>
      <c r="M27" s="313">
        <f>IF(J8="IP units",1,2)</f>
        <v>1</v>
      </c>
    </row>
    <row r="28" spans="2:13" ht="12" customHeight="1">
      <c r="K28" s="59" t="s">
        <v>10</v>
      </c>
      <c r="M28" s="44" t="s">
        <v>5</v>
      </c>
    </row>
    <row r="29" spans="2:13" ht="12" customHeight="1">
      <c r="K29" s="59" t="s">
        <v>11</v>
      </c>
    </row>
    <row r="30" spans="2:13" ht="11.45" customHeight="1">
      <c r="K30" s="59" t="s">
        <v>359</v>
      </c>
      <c r="M30" s="315" t="s">
        <v>6</v>
      </c>
    </row>
    <row r="31" spans="2:13" ht="15" customHeight="1">
      <c r="M31" s="314" t="str">
        <f>IF(M27=1,"(sq ft)","(sq m)")</f>
        <v>(sq ft)</v>
      </c>
    </row>
  </sheetData>
  <sheetProtection algorithmName="SHA-512" hashValue="zXaBq6SmiRSQAVStPZEHxgRzssidXiTJmfJ7VuBsyMt26/7x5mmho4R4R/xAflM/+rzAlxTbqCpPVhrFaeJrww==" saltValue="ee/7Wtl0zrLdoPG9W0biGA==" spinCount="100000" sheet="1" objects="1" scenarios="1"/>
  <mergeCells count="5">
    <mergeCell ref="E20:J20"/>
    <mergeCell ref="E23:J23"/>
    <mergeCell ref="E16:J16"/>
    <mergeCell ref="E3:J3"/>
    <mergeCell ref="H12:J12"/>
  </mergeCells>
  <dataValidations count="2">
    <dataValidation type="list" operator="greaterThanOrEqual" allowBlank="1" showInputMessage="1" showErrorMessage="1" sqref="J8" xr:uid="{00000000-0002-0000-0000-000000000000}">
      <formula1>"IP units, SI units"</formula1>
    </dataValidation>
    <dataValidation type="list" operator="greaterThanOrEqual" allowBlank="1" showInputMessage="1" showErrorMessage="1" sqref="H12" xr:uid="{0A834523-2F71-4098-B4D8-46E21BEAA1CB}">
      <formula1>Lookup_RatingSystem</formula1>
    </dataValidation>
  </dataValidations>
  <pageMargins left="0.75" right="0.75" top="1" bottom="1" header="0.5" footer="0.5"/>
  <pageSetup orientation="portrait"/>
  <headerFooter alignWithMargins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A1:AA110"/>
  <sheetViews>
    <sheetView showGridLines="0" zoomScale="80" zoomScaleNormal="80" zoomScalePageLayoutView="90" workbookViewId="0">
      <pane xSplit="4" ySplit="3" topLeftCell="E4" activePane="bottomRight" state="frozen"/>
      <selection activeCell="S20" sqref="S20"/>
      <selection pane="topRight" activeCell="S20" sqref="S20"/>
      <selection pane="bottomLeft" activeCell="S20" sqref="S20"/>
      <selection pane="bottomRight" activeCell="C13" sqref="C13"/>
    </sheetView>
  </sheetViews>
  <sheetFormatPr defaultColWidth="8.85546875" defaultRowHeight="12.75"/>
  <cols>
    <col min="1" max="1" width="4.42578125" style="1" customWidth="1"/>
    <col min="2" max="2" width="37.42578125" style="1" customWidth="1"/>
    <col min="3" max="3" width="38.42578125" style="1" customWidth="1"/>
    <col min="4" max="4" width="11.7109375" style="1" customWidth="1"/>
    <col min="5" max="5" width="37.140625" style="1" customWidth="1"/>
    <col min="6" max="6" width="17.42578125" style="1" customWidth="1"/>
    <col min="7" max="7" width="26.140625" style="1" customWidth="1"/>
    <col min="8" max="9" width="15.42578125" style="1" customWidth="1"/>
    <col min="10" max="10" width="10.7109375" style="1" customWidth="1"/>
    <col min="11" max="11" width="2.7109375" style="1" customWidth="1"/>
    <col min="12" max="12" width="22.7109375" style="1" customWidth="1"/>
    <col min="13" max="13" width="24.85546875" style="1" customWidth="1"/>
    <col min="14" max="14" width="22.7109375" style="1" customWidth="1"/>
    <col min="15" max="15" width="15.42578125" style="1" customWidth="1"/>
    <col min="16" max="16" width="2.7109375" style="1" customWidth="1"/>
    <col min="17" max="19" width="14" style="1" customWidth="1"/>
    <col min="20" max="20" width="15.42578125" style="1" customWidth="1"/>
    <col min="21" max="21" width="8.85546875" style="1"/>
    <col min="22" max="22" width="20" style="1" customWidth="1"/>
    <col min="23" max="23" width="20" style="1" hidden="1" customWidth="1"/>
    <col min="24" max="24" width="19.42578125" style="1" hidden="1" customWidth="1"/>
    <col min="25" max="27" width="8.85546875" style="1" hidden="1" customWidth="1"/>
    <col min="28" max="28" width="8.85546875" style="1" customWidth="1"/>
    <col min="29" max="16384" width="8.85546875" style="1"/>
  </cols>
  <sheetData>
    <row r="1" spans="1:24" s="27" customFormat="1" ht="15" customHeight="1">
      <c r="A1" s="63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</row>
    <row r="2" spans="1:24" s="27" customFormat="1" ht="21" customHeight="1">
      <c r="A2" s="65"/>
      <c r="B2" s="66" t="s">
        <v>14</v>
      </c>
      <c r="C2" s="66"/>
      <c r="D2" s="66"/>
      <c r="E2" s="66"/>
      <c r="F2" s="66"/>
      <c r="G2" s="66"/>
      <c r="H2" s="66"/>
      <c r="I2" s="66"/>
      <c r="J2" s="66"/>
      <c r="K2" s="67"/>
      <c r="L2" s="66"/>
      <c r="M2" s="66"/>
      <c r="N2" s="66"/>
      <c r="O2" s="66"/>
      <c r="P2" s="67"/>
      <c r="Q2" s="66"/>
      <c r="R2" s="66"/>
      <c r="S2" s="66"/>
      <c r="T2" s="66"/>
      <c r="U2" s="28"/>
      <c r="V2" s="28"/>
      <c r="W2" s="28"/>
    </row>
    <row r="3" spans="1:24" s="27" customFormat="1" ht="15" customHeight="1">
      <c r="A3" s="63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</row>
    <row r="4" spans="1:24" ht="24" customHeight="1">
      <c r="A4" s="47"/>
    </row>
    <row r="5" spans="1:24" ht="24" customHeight="1">
      <c r="A5" s="47"/>
      <c r="B5" s="80" t="s">
        <v>311</v>
      </c>
    </row>
    <row r="6" spans="1:24" ht="24" customHeight="1">
      <c r="A6" s="47"/>
      <c r="B6" s="79" t="s">
        <v>149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</row>
    <row r="7" spans="1:24">
      <c r="A7" s="47"/>
      <c r="B7" s="79" t="s">
        <v>150</v>
      </c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</row>
    <row r="8" spans="1:24">
      <c r="A8" s="47"/>
      <c r="B8" s="79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</row>
    <row r="9" spans="1:24">
      <c r="A9" s="47"/>
      <c r="B9" s="79" t="s">
        <v>267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</row>
    <row r="10" spans="1:24">
      <c r="A10" s="47"/>
      <c r="B10" s="79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</row>
    <row r="11" spans="1:24" ht="24" customHeight="1">
      <c r="A11" s="47"/>
      <c r="B11" s="383" t="s">
        <v>60</v>
      </c>
      <c r="C11" s="92" t="s">
        <v>45</v>
      </c>
      <c r="D11" s="93"/>
      <c r="E11" s="94"/>
    </row>
    <row r="12" spans="1:24" ht="24" customHeight="1">
      <c r="A12" s="47"/>
      <c r="B12" s="384"/>
      <c r="C12" s="68" t="s">
        <v>46</v>
      </c>
      <c r="D12" s="95" t="s">
        <v>47</v>
      </c>
      <c r="X12" s="57" t="s">
        <v>50</v>
      </c>
    </row>
    <row r="13" spans="1:24" ht="24" customHeight="1">
      <c r="A13" s="47"/>
      <c r="B13" s="96" t="str">
        <f>LookupData!E2</f>
        <v>Electricity</v>
      </c>
      <c r="C13" s="104">
        <f>+Default_Electricity_No_Model</f>
        <v>0</v>
      </c>
      <c r="D13" s="97" t="str" cm="1">
        <f t="array" ref="D13">+Default_Elec_Units</f>
        <v>kWh</v>
      </c>
      <c r="X13" s="113">
        <f>IFERROR(C13*VLOOKUP(D13,Energy_Units_Table,2,FALSE),0)</f>
        <v>0</v>
      </c>
    </row>
    <row r="14" spans="1:24" ht="24" customHeight="1">
      <c r="A14" s="47"/>
      <c r="B14" s="98" t="str">
        <f>LookupData!E3</f>
        <v>Fossil Fuel</v>
      </c>
      <c r="C14" s="105">
        <f>+Default_Fuel_No_Model</f>
        <v>0</v>
      </c>
      <c r="D14" s="97" t="str" cm="1">
        <f t="array" ref="D14">+Default_Fuel_Units</f>
        <v>therm</v>
      </c>
      <c r="X14" s="113">
        <f>IFERROR(C14*VLOOKUP(D14,Energy_Units_Table,2,FALSE),0)</f>
        <v>0</v>
      </c>
    </row>
    <row r="15" spans="1:24" ht="24" customHeight="1">
      <c r="A15" s="47"/>
      <c r="B15" s="98" t="str">
        <f>LookupData!E4</f>
        <v>District Cooling</v>
      </c>
      <c r="C15" s="105"/>
      <c r="D15" s="97" t="str" cm="1">
        <f t="array" ref="D15">+Default_Cooling_Units</f>
        <v>Ton Hours</v>
      </c>
      <c r="X15" s="113">
        <f>IFERROR(C15*VLOOKUP(D15,Energy_Units_Table,2,FALSE),0)</f>
        <v>0</v>
      </c>
    </row>
    <row r="16" spans="1:24" ht="24" customHeight="1">
      <c r="A16" s="47"/>
      <c r="B16" s="98" t="str">
        <f>LookupData!E5</f>
        <v>District Heating</v>
      </c>
      <c r="C16" s="105"/>
      <c r="D16" s="97" t="str" cm="1">
        <f t="array" ref="D16">+Default_Heating_Units</f>
        <v>Btu x 10^6</v>
      </c>
      <c r="X16" s="113">
        <f>IFERROR(C16*VLOOKUP(D16,Energy_Units_Table,2,FALSE),0)</f>
        <v>0</v>
      </c>
    </row>
    <row r="17" spans="1:27" ht="24" customHeight="1">
      <c r="A17" s="47"/>
      <c r="B17" s="99" t="str">
        <f>LookupData!E6</f>
        <v>Other</v>
      </c>
      <c r="C17" s="106"/>
      <c r="D17" s="100" t="str" cm="1">
        <f t="array" ref="D17">+Default_Total_Units</f>
        <v>Btu x 10^6</v>
      </c>
      <c r="X17" s="113">
        <f>IFERROR(C17*VLOOKUP(D17,Energy_Units_Table,2,FALSE),0)</f>
        <v>0</v>
      </c>
    </row>
    <row r="18" spans="1:27" ht="24" customHeight="1">
      <c r="A18" s="47"/>
      <c r="B18" s="110" t="s">
        <v>48</v>
      </c>
      <c r="C18" s="111">
        <f>IFERROR(X18/VLOOKUP(D18,Energy_Units_Table,2,FALSE),0)</f>
        <v>0</v>
      </c>
      <c r="D18" s="316" t="str" cm="1">
        <f t="array" ref="D18">+Default_Total_Units</f>
        <v>Btu x 10^6</v>
      </c>
      <c r="X18" s="113">
        <f>SUM(X13:X17)</f>
        <v>0</v>
      </c>
    </row>
    <row r="19" spans="1:27" ht="24" customHeight="1">
      <c r="A19" s="47"/>
      <c r="B19" s="317" t="s">
        <v>113</v>
      </c>
      <c r="C19" s="338">
        <f>IFERROR(X19/VLOOKUP(D19,Energy_Units_Table,2,FALSE),0)</f>
        <v>0</v>
      </c>
      <c r="D19" s="341" t="str">
        <f>D18</f>
        <v>Btu x 10^6</v>
      </c>
      <c r="X19" s="113">
        <f>SUM(X15,X16)</f>
        <v>0</v>
      </c>
    </row>
    <row r="20" spans="1:27" ht="24" customHeight="1">
      <c r="A20" s="47"/>
      <c r="B20" s="318" t="s">
        <v>58</v>
      </c>
      <c r="C20" s="339">
        <f>IFERROR(X20/VLOOKUP(D20,Energy_Units_Table,2,FALSE),0)</f>
        <v>0</v>
      </c>
      <c r="D20" s="342" t="str">
        <f>D18</f>
        <v>Btu x 10^6</v>
      </c>
      <c r="X20" s="113">
        <f>SUM(X13,X15,X16)</f>
        <v>0</v>
      </c>
    </row>
    <row r="21" spans="1:27" ht="24" customHeight="1">
      <c r="A21" s="47"/>
      <c r="B21" s="319" t="s">
        <v>59</v>
      </c>
      <c r="C21" s="340">
        <f>IFERROR(X21/VLOOKUP(D21,Energy_Units_Table,2,FALSE),0)</f>
        <v>0</v>
      </c>
      <c r="D21" s="343" t="str">
        <f>D18</f>
        <v>Btu x 10^6</v>
      </c>
      <c r="X21" s="113">
        <f>SUM(X14+X17)</f>
        <v>0</v>
      </c>
    </row>
    <row r="22" spans="1:27" ht="24" customHeight="1">
      <c r="A22" s="47"/>
      <c r="X22" s="114"/>
    </row>
    <row r="23" spans="1:27" ht="24" customHeight="1">
      <c r="A23" s="47"/>
      <c r="B23" s="126" t="s">
        <v>130</v>
      </c>
      <c r="F23" s="90"/>
      <c r="G23" s="90"/>
      <c r="X23" s="114"/>
    </row>
    <row r="24" spans="1:27" ht="24" customHeight="1">
      <c r="A24" s="47"/>
      <c r="B24" s="79" t="s">
        <v>308</v>
      </c>
      <c r="X24" s="114"/>
    </row>
    <row r="25" spans="1:27" ht="32.25" customHeight="1">
      <c r="A25" s="47"/>
      <c r="B25" s="383" t="s">
        <v>80</v>
      </c>
      <c r="C25" s="381" t="s">
        <v>85</v>
      </c>
      <c r="D25" s="379" t="s">
        <v>111</v>
      </c>
      <c r="E25" s="377" t="s">
        <v>86</v>
      </c>
      <c r="F25" s="377" t="s">
        <v>94</v>
      </c>
      <c r="G25" s="377" t="s">
        <v>15</v>
      </c>
      <c r="H25" s="377" t="s">
        <v>294</v>
      </c>
      <c r="I25" s="377" t="s">
        <v>102</v>
      </c>
      <c r="J25" s="377" t="s">
        <v>295</v>
      </c>
      <c r="K25" s="48"/>
      <c r="L25" s="84" t="s">
        <v>92</v>
      </c>
      <c r="M25" s="85"/>
      <c r="N25" s="85"/>
      <c r="O25" s="84"/>
      <c r="P25" s="48"/>
      <c r="Q25" s="107" t="s">
        <v>112</v>
      </c>
      <c r="R25" s="108"/>
      <c r="S25" s="108"/>
      <c r="T25" s="109"/>
      <c r="X25" s="114"/>
    </row>
    <row r="26" spans="1:27" ht="84.75" customHeight="1">
      <c r="A26" s="47"/>
      <c r="B26" s="384"/>
      <c r="C26" s="382"/>
      <c r="D26" s="380"/>
      <c r="E26" s="378"/>
      <c r="F26" s="378"/>
      <c r="G26" s="378"/>
      <c r="H26" s="385"/>
      <c r="I26" s="378"/>
      <c r="J26" s="378"/>
      <c r="K26" s="40"/>
      <c r="L26" s="86" t="s">
        <v>91</v>
      </c>
      <c r="M26" s="62" t="s">
        <v>125</v>
      </c>
      <c r="N26" s="62" t="s">
        <v>93</v>
      </c>
      <c r="O26" s="83" t="s">
        <v>95</v>
      </c>
      <c r="P26" s="40"/>
      <c r="Q26" s="61" t="s">
        <v>114</v>
      </c>
      <c r="R26" s="62" t="s">
        <v>115</v>
      </c>
      <c r="S26" s="83" t="s">
        <v>116</v>
      </c>
      <c r="T26" s="118" t="s">
        <v>120</v>
      </c>
      <c r="W26" s="115" t="s">
        <v>119</v>
      </c>
      <c r="X26" s="115" t="s">
        <v>118</v>
      </c>
    </row>
    <row r="27" spans="1:27" ht="15" customHeight="1">
      <c r="A27" s="344" t="str">
        <f t="shared" ref="A27:A36" si="0">IFERROR(MATCH($B27,LEED_Renewable_Category,0),"")</f>
        <v/>
      </c>
      <c r="B27" s="45"/>
      <c r="C27" s="70"/>
      <c r="D27" s="70" t="str" cm="1">
        <f t="array" ref="D27">+Default_Gen_Type</f>
        <v/>
      </c>
      <c r="E27" s="69"/>
      <c r="F27" s="101"/>
      <c r="G27" s="101"/>
      <c r="H27" s="87"/>
      <c r="I27" s="87"/>
      <c r="J27" s="87"/>
      <c r="K27" s="91"/>
      <c r="L27" s="122"/>
      <c r="M27" s="122"/>
      <c r="N27" s="335" t="str">
        <f>IFERROR(IF($L27&gt;0,IF(AND($A27=2,$W27&gt;$X$20),IF($J27="Yes",(($L27-$M27)*Contract_Years/10),($X$20/VLOOKUP($O27,Energy_Units_Table,2,FALSE)*Contract_Years/10)),IF(OR($A27=1,$A27=2,$J27="Yes",$C27&lt;&gt;"Electricity"),(($L27-$M27)*Contract_Years/10),"")),""),"")</f>
        <v/>
      </c>
      <c r="O27" s="119" t="str" cm="1">
        <f t="array" ref="O27">+Default_Renewable_Units</f>
        <v/>
      </c>
      <c r="P27" s="91"/>
      <c r="Q27" s="327" t="str">
        <f>IF(ISBLANK($L27),"",IFERROR(IF($D27="Electricity",IF($A27=1,$X27/$X$13,MIN($X27/$X$13,100%)),""),""))</f>
        <v/>
      </c>
      <c r="R27" s="328" t="str">
        <f>IF(ISBLANK($L27),"",IFERROR(IF($D27="Electricity",MIN(MAX($X27-$X$13,0)/$X$19,100%),IF($D27="Fossil Fuel",MIN(MAX($X27-$X$21,0)/$X$19,100%),MIN($X27/$X$19,100%))),""))</f>
        <v/>
      </c>
      <c r="S27" s="329" t="str">
        <f>IF(ISBLANK($L27),"",IFERROR(IF($D27&lt;&gt;"Electricity",MIN($X27/$X$21,100%),""),""))</f>
        <v/>
      </c>
      <c r="T27" s="330" t="str">
        <f>IFERROR(IF($A27=1,$X27/$X$18,IF(AND($A27=2,$D27="Electricity"),MIN(MIN($X27,$X$20)/$X$18,100%),MIN(IF($D27="Electricity",MIN($X27,$X$20)/$X$18,MIN($X27,$X$19+$X$21)/$X$18),100%))),"")</f>
        <v/>
      </c>
      <c r="W27" s="116">
        <f t="shared" ref="W27:W36" si="1">IFERROR((L27-M27)*VLOOKUP(O27,Energy_Units_Table,2,FALSE),0)</f>
        <v>0</v>
      </c>
      <c r="X27" s="116">
        <f t="shared" ref="X27:X36" si="2">IFERROR(N27*VLOOKUP(O27,Energy_Units_Table,2,FALSE),0)</f>
        <v>0</v>
      </c>
      <c r="AA27" s="1" t="str">
        <f>IFERROR(IF(ISBLANK('Renewable Energy'!$B27),"",VLOOKUP('Renewable Energy'!$B27,Renewable_Source_Table,2,FALSE)),"Electricity")</f>
        <v/>
      </c>
    </row>
    <row r="28" spans="1:27" ht="15" customHeight="1">
      <c r="A28" s="344" t="str">
        <f t="shared" si="0"/>
        <v/>
      </c>
      <c r="B28" s="43"/>
      <c r="C28" s="70"/>
      <c r="D28" s="70" t="str" cm="1">
        <f t="array" ref="D28">+Default_Gen_Type</f>
        <v/>
      </c>
      <c r="E28" s="70"/>
      <c r="F28" s="102"/>
      <c r="G28" s="101"/>
      <c r="H28" s="87"/>
      <c r="I28" s="88"/>
      <c r="J28" s="88"/>
      <c r="K28" s="42"/>
      <c r="L28" s="123"/>
      <c r="M28" s="123"/>
      <c r="N28" s="336" t="str">
        <f>IFERROR(IF($L28&gt;0,IF(AND($A28=2,$W28&gt;$X$20),IF($J28="Yes",(($L28-$M28)*Contract_Years/10),($X$20/VLOOKUP($O28,Energy_Units_Table,2,FALSE)*Contract_Years/10)),IF(OR($A28=1,$A28=2,$J28="Yes",$C28&lt;&gt;"Electricity"),(($L28-$M28)*Contract_Years/10),"")),""),"")</f>
        <v/>
      </c>
      <c r="O28" s="120" t="str" cm="1">
        <f t="array" ref="O28">+Default_Renewable_Units</f>
        <v/>
      </c>
      <c r="P28" s="42"/>
      <c r="Q28" s="327" t="str">
        <f t="shared" ref="Q28:Q36" si="3">IF(ISBLANK($L28),"",IFERROR(IF($D28="Electricity",IF($A28=1,$X28/$X$13,MIN($X28/$X$13,100%)),""),""))</f>
        <v/>
      </c>
      <c r="R28" s="328" t="str">
        <f t="shared" ref="R28:R36" si="4">IF(ISBLANK($L28),"",IFERROR(IF($D28="Electricity",MIN(MAX($X28-$X$13,0)/$X$19,100%),IF($D28="Fossil Fuel",MIN(MAX($X28-$X$21,0)/$X$19,100%),MIN($X28/$X$19,100%))),""))</f>
        <v/>
      </c>
      <c r="S28" s="329" t="str">
        <f t="shared" ref="S28:S36" si="5">IF(ISBLANK($L28),"",IFERROR(IF($D28&lt;&gt;"Electricity",MIN($X28/$X$21,100%),""),""))</f>
        <v/>
      </c>
      <c r="T28" s="330" t="str">
        <f t="shared" ref="T28:T36" si="6">IFERROR(IF($A28=1,$X28/$X$18,IF(AND($A28=2,$D28="Electricity"),MIN(MIN($X28,$X$20)/$X$18,100%),MIN(IF($D28="Electricity",MIN($X28,$X$20)/$X$18,MIN($X28,$X$19+$X$21)/$X$18),100%))),"")</f>
        <v/>
      </c>
      <c r="W28" s="116">
        <f t="shared" si="1"/>
        <v>0</v>
      </c>
      <c r="X28" s="116">
        <f t="shared" si="2"/>
        <v>0</v>
      </c>
    </row>
    <row r="29" spans="1:27" ht="15" customHeight="1">
      <c r="A29" s="344" t="str">
        <f t="shared" si="0"/>
        <v/>
      </c>
      <c r="B29" s="43"/>
      <c r="C29" s="70"/>
      <c r="D29" s="70" t="str" cm="1">
        <f t="array" ref="D29">+Default_Gen_Type</f>
        <v/>
      </c>
      <c r="E29" s="70"/>
      <c r="F29" s="102"/>
      <c r="G29" s="101"/>
      <c r="H29" s="87"/>
      <c r="I29" s="88"/>
      <c r="J29" s="88"/>
      <c r="K29" s="42"/>
      <c r="L29" s="123"/>
      <c r="M29" s="123"/>
      <c r="N29" s="336" t="str">
        <f>IFERROR(IF($L29&gt;0,IF(AND($A29=2,$W29&gt;$X$20),IF($J29="Yes",(($L29-$M29)*Contract_Years/10),($X$20/VLOOKUP($O29,Energy_Units_Table,2,FALSE)*Contract_Years/10)),IF(OR($A29=1,$A29=2,$J29="Yes",$C29&lt;&gt;"Electricity"),(($L29-$M29)*Contract_Years/10),"")),""),"")</f>
        <v/>
      </c>
      <c r="O29" s="120" t="str" cm="1">
        <f t="array" ref="O29">+Default_Renewable_Units</f>
        <v/>
      </c>
      <c r="P29" s="42"/>
      <c r="Q29" s="327" t="str">
        <f>IF(ISBLANK($L29),"",IFERROR(IF($D29="Electricity",IF($A29=1,$X29/$X$13,MIN($X29/$X$13,100%)),""),""))</f>
        <v/>
      </c>
      <c r="R29" s="328" t="str">
        <f t="shared" si="4"/>
        <v/>
      </c>
      <c r="S29" s="329" t="str">
        <f t="shared" si="5"/>
        <v/>
      </c>
      <c r="T29" s="330" t="str">
        <f t="shared" si="6"/>
        <v/>
      </c>
      <c r="W29" s="116">
        <f>IFERROR((L29-M29)*VLOOKUP(O29,Energy_Units_Table,2,FALSE),0)</f>
        <v>0</v>
      </c>
      <c r="X29" s="116">
        <f>IFERROR(N29*VLOOKUP(O29,Energy_Units_Table,2,FALSE),0)</f>
        <v>0</v>
      </c>
    </row>
    <row r="30" spans="1:27" ht="15" customHeight="1">
      <c r="A30" s="344" t="str">
        <f t="shared" si="0"/>
        <v/>
      </c>
      <c r="B30" s="43"/>
      <c r="C30" s="70"/>
      <c r="D30" s="70" t="str" cm="1">
        <f t="array" ref="D30">+Default_Gen_Type</f>
        <v/>
      </c>
      <c r="E30" s="70"/>
      <c r="F30" s="102"/>
      <c r="G30" s="101"/>
      <c r="H30" s="87"/>
      <c r="I30" s="88"/>
      <c r="J30" s="88"/>
      <c r="K30" s="42"/>
      <c r="L30" s="123"/>
      <c r="M30" s="123"/>
      <c r="N30" s="336" t="str">
        <f>IFERROR(IF($L30&gt;0,IF(AND($A30=2,$W30&gt;$X$20),IF($J30="Yes",(($L30-$M30)*Contract_Years/10),($X$20/VLOOKUP($O30,Energy_Units_Table,2,FALSE)*Contract_Years/10)),IF(OR($A30=1,$A30=2,$J30="Yes",$C30&lt;&gt;"Electricity"),(($L30-$M30)*Contract_Years/10),"")),""),"")</f>
        <v/>
      </c>
      <c r="O30" s="120" t="str" cm="1">
        <f t="array" ref="O30">+Default_Renewable_Units</f>
        <v/>
      </c>
      <c r="P30" s="42"/>
      <c r="Q30" s="327" t="str">
        <f t="shared" si="3"/>
        <v/>
      </c>
      <c r="R30" s="328" t="str">
        <f t="shared" si="4"/>
        <v/>
      </c>
      <c r="S30" s="329" t="str">
        <f t="shared" si="5"/>
        <v/>
      </c>
      <c r="T30" s="330" t="str">
        <f t="shared" si="6"/>
        <v/>
      </c>
      <c r="W30" s="116">
        <f t="shared" si="1"/>
        <v>0</v>
      </c>
      <c r="X30" s="116">
        <f t="shared" si="2"/>
        <v>0</v>
      </c>
    </row>
    <row r="31" spans="1:27" ht="15" customHeight="1">
      <c r="A31" s="344" t="str">
        <f t="shared" si="0"/>
        <v/>
      </c>
      <c r="B31" s="43"/>
      <c r="C31" s="70"/>
      <c r="D31" s="70" t="str" cm="1">
        <f t="array" ref="D31">+Default_Gen_Type</f>
        <v/>
      </c>
      <c r="E31" s="70"/>
      <c r="F31" s="102"/>
      <c r="G31" s="101"/>
      <c r="H31" s="87"/>
      <c r="I31" s="88"/>
      <c r="J31" s="88"/>
      <c r="K31" s="42"/>
      <c r="L31" s="123"/>
      <c r="M31" s="123"/>
      <c r="N31" s="336" t="str">
        <f>IFERROR(IF($L31&gt;0,IF(AND($A31=2,$W31&gt;$X$20),IF($J31="Yes",(($L31-$M31)*Contract_Years/10),($X$20/VLOOKUP($O31,Energy_Units_Table,2,FALSE)*Contract_Years/10)),IF(OR($A31=1,$A31=2,$J31="Yes",$C31&lt;&gt;"Electricity"),(($L31-$M31)*Contract_Years/10),"")),""),"")</f>
        <v/>
      </c>
      <c r="O31" s="120" t="str" cm="1">
        <f t="array" ref="O31">+Default_Renewable_Units</f>
        <v/>
      </c>
      <c r="P31" s="42"/>
      <c r="Q31" s="327" t="str">
        <f t="shared" si="3"/>
        <v/>
      </c>
      <c r="R31" s="328" t="str">
        <f t="shared" si="4"/>
        <v/>
      </c>
      <c r="S31" s="329" t="str">
        <f t="shared" si="5"/>
        <v/>
      </c>
      <c r="T31" s="330" t="str">
        <f t="shared" si="6"/>
        <v/>
      </c>
      <c r="W31" s="116">
        <f t="shared" si="1"/>
        <v>0</v>
      </c>
      <c r="X31" s="116">
        <f t="shared" si="2"/>
        <v>0</v>
      </c>
    </row>
    <row r="32" spans="1:27" ht="15" customHeight="1">
      <c r="A32" s="344" t="str">
        <f t="shared" si="0"/>
        <v/>
      </c>
      <c r="B32" s="43"/>
      <c r="C32" s="70"/>
      <c r="D32" s="70" t="str" cm="1">
        <f t="array" ref="D32">+Default_Gen_Type</f>
        <v/>
      </c>
      <c r="E32" s="70"/>
      <c r="F32" s="102"/>
      <c r="G32" s="101"/>
      <c r="H32" s="87"/>
      <c r="I32" s="88"/>
      <c r="J32" s="88"/>
      <c r="K32" s="42"/>
      <c r="L32" s="123"/>
      <c r="M32" s="123"/>
      <c r="N32" s="336" t="str">
        <f>IFERROR(IF($L32&gt;0,IF(AND($A32=2,$W32&gt;$X$20),IF($J32="Yes",(($L32-$M32)*Contract_Years/10),($X$20/VLOOKUP($O32,Energy_Units_Table,2,FALSE)*Contract_Years/10)),IF(OR($A32=1,$A32=2,$J32="Yes",$C32&lt;&gt;"Electricity"),(($L32-$M32)*Contract_Years/10),"")),""),"")</f>
        <v/>
      </c>
      <c r="O32" s="120" t="str" cm="1">
        <f t="array" ref="O32">+Default_Renewable_Units</f>
        <v/>
      </c>
      <c r="P32" s="42"/>
      <c r="Q32" s="327" t="str">
        <f t="shared" si="3"/>
        <v/>
      </c>
      <c r="R32" s="328" t="str">
        <f t="shared" si="4"/>
        <v/>
      </c>
      <c r="S32" s="329" t="str">
        <f t="shared" si="5"/>
        <v/>
      </c>
      <c r="T32" s="330" t="str">
        <f t="shared" si="6"/>
        <v/>
      </c>
      <c r="W32" s="116">
        <f t="shared" si="1"/>
        <v>0</v>
      </c>
      <c r="X32" s="116">
        <f t="shared" si="2"/>
        <v>0</v>
      </c>
    </row>
    <row r="33" spans="1:24" ht="15" customHeight="1">
      <c r="A33" s="344" t="str">
        <f t="shared" si="0"/>
        <v/>
      </c>
      <c r="B33" s="43"/>
      <c r="C33" s="70"/>
      <c r="D33" s="70" t="str" cm="1">
        <f t="array" ref="D33">+Default_Gen_Type</f>
        <v/>
      </c>
      <c r="E33" s="70"/>
      <c r="F33" s="102"/>
      <c r="G33" s="101"/>
      <c r="H33" s="87"/>
      <c r="I33" s="88"/>
      <c r="J33" s="88"/>
      <c r="K33" s="42"/>
      <c r="L33" s="123"/>
      <c r="M33" s="123"/>
      <c r="N33" s="336" t="str">
        <f>IFERROR(IF($L33&gt;0,IF(AND($A33=2,$W33&gt;$X$20),IF($J33="Yes",(($L33-$M33)*Contract_Years/10),($X$20/VLOOKUP($O33,Energy_Units_Table,2,FALSE)*Contract_Years/10)),IF(OR($A33=1,$A33=2,$J33="Yes",$C33&lt;&gt;"Electricity"),(($L33-$M33)*Contract_Years/10),"")),""),"")</f>
        <v/>
      </c>
      <c r="O33" s="120" t="str" cm="1">
        <f t="array" ref="O33">+Default_Renewable_Units</f>
        <v/>
      </c>
      <c r="P33" s="42"/>
      <c r="Q33" s="327" t="str">
        <f t="shared" si="3"/>
        <v/>
      </c>
      <c r="R33" s="328" t="str">
        <f t="shared" si="4"/>
        <v/>
      </c>
      <c r="S33" s="329" t="str">
        <f t="shared" si="5"/>
        <v/>
      </c>
      <c r="T33" s="330" t="str">
        <f t="shared" si="6"/>
        <v/>
      </c>
      <c r="W33" s="116">
        <f t="shared" si="1"/>
        <v>0</v>
      </c>
      <c r="X33" s="116">
        <f t="shared" si="2"/>
        <v>0</v>
      </c>
    </row>
    <row r="34" spans="1:24" ht="15" customHeight="1">
      <c r="A34" s="344" t="str">
        <f t="shared" si="0"/>
        <v/>
      </c>
      <c r="B34" s="43"/>
      <c r="C34" s="70"/>
      <c r="D34" s="70" t="str" cm="1">
        <f t="array" ref="D34">+Default_Gen_Type</f>
        <v/>
      </c>
      <c r="E34" s="70"/>
      <c r="F34" s="102"/>
      <c r="G34" s="101"/>
      <c r="H34" s="87"/>
      <c r="I34" s="88"/>
      <c r="J34" s="88"/>
      <c r="K34" s="42"/>
      <c r="L34" s="123"/>
      <c r="M34" s="123"/>
      <c r="N34" s="336" t="str">
        <f>IFERROR(IF($L34&gt;0,IF(AND($A34=2,$W34&gt;$X$20),IF($J34="Yes",(($L34-$M34)*Contract_Years/10),($X$20/VLOOKUP($O34,Energy_Units_Table,2,FALSE)*Contract_Years/10)),IF(OR($A34=1,$A34=2,$J34="Yes",$C34&lt;&gt;"Electricity"),(($L34-$M34)*Contract_Years/10),"")),""),"")</f>
        <v/>
      </c>
      <c r="O34" s="120" t="str" cm="1">
        <f t="array" ref="O34">+Default_Renewable_Units</f>
        <v/>
      </c>
      <c r="P34" s="42"/>
      <c r="Q34" s="327" t="str">
        <f t="shared" si="3"/>
        <v/>
      </c>
      <c r="R34" s="328" t="str">
        <f t="shared" si="4"/>
        <v/>
      </c>
      <c r="S34" s="329" t="str">
        <f t="shared" si="5"/>
        <v/>
      </c>
      <c r="T34" s="330" t="str">
        <f t="shared" si="6"/>
        <v/>
      </c>
      <c r="W34" s="116">
        <f t="shared" si="1"/>
        <v>0</v>
      </c>
      <c r="X34" s="116">
        <f t="shared" si="2"/>
        <v>0</v>
      </c>
    </row>
    <row r="35" spans="1:24" ht="15" customHeight="1">
      <c r="A35" s="344" t="str">
        <f t="shared" si="0"/>
        <v/>
      </c>
      <c r="B35" s="43"/>
      <c r="C35" s="70"/>
      <c r="D35" s="70" t="str" cm="1">
        <f t="array" ref="D35">+Default_Gen_Type</f>
        <v/>
      </c>
      <c r="E35" s="70"/>
      <c r="F35" s="102"/>
      <c r="G35" s="101"/>
      <c r="H35" s="87"/>
      <c r="I35" s="88"/>
      <c r="J35" s="88"/>
      <c r="K35" s="42"/>
      <c r="L35" s="123"/>
      <c r="M35" s="123"/>
      <c r="N35" s="336" t="str">
        <f>IFERROR(IF($L35&gt;0,IF(AND($A35=2,$W35&gt;$X$20),IF($J35="Yes",(($L35-$M35)*Contract_Years/10),($X$20/VLOOKUP($O35,Energy_Units_Table,2,FALSE)*Contract_Years/10)),IF(OR($A35=1,$A35=2,$J35="Yes",$C35&lt;&gt;"Electricity"),(($L35-$M35)*Contract_Years/10),"")),""),"")</f>
        <v/>
      </c>
      <c r="O35" s="120" t="str" cm="1">
        <f t="array" ref="O35">+Default_Renewable_Units</f>
        <v/>
      </c>
      <c r="P35" s="42"/>
      <c r="Q35" s="327" t="str">
        <f t="shared" si="3"/>
        <v/>
      </c>
      <c r="R35" s="328" t="str">
        <f t="shared" si="4"/>
        <v/>
      </c>
      <c r="S35" s="329" t="str">
        <f t="shared" si="5"/>
        <v/>
      </c>
      <c r="T35" s="330" t="str">
        <f t="shared" si="6"/>
        <v/>
      </c>
      <c r="W35" s="116">
        <f t="shared" si="1"/>
        <v>0</v>
      </c>
      <c r="X35" s="116">
        <f t="shared" si="2"/>
        <v>0</v>
      </c>
    </row>
    <row r="36" spans="1:24" ht="15" customHeight="1">
      <c r="A36" s="344" t="str">
        <f t="shared" si="0"/>
        <v/>
      </c>
      <c r="B36" s="46"/>
      <c r="C36" s="71"/>
      <c r="D36" s="71" t="str" cm="1">
        <f t="array" ref="D36">+Default_Gen_Type</f>
        <v/>
      </c>
      <c r="E36" s="71"/>
      <c r="F36" s="103"/>
      <c r="G36" s="125"/>
      <c r="H36" s="112"/>
      <c r="I36" s="89"/>
      <c r="J36" s="89"/>
      <c r="K36" s="42"/>
      <c r="L36" s="124"/>
      <c r="M36" s="124"/>
      <c r="N36" s="337" t="str">
        <f>IFERROR(IF($L36&gt;0,IF(AND($A36=2,$W36&gt;$X$20),IF($J36="Yes",(($L36-$M36)*Contract_Years/10),($X$20/VLOOKUP($O36,Energy_Units_Table,2,FALSE)*Contract_Years/10)),IF(OR($A36=1,$A36=2,$J36="Yes",$C36&lt;&gt;"Electricity"),(($L36-$M36)*Contract_Years/10),"")),""),"")</f>
        <v/>
      </c>
      <c r="O36" s="121" t="str" cm="1">
        <f t="array" ref="O36">+Default_Renewable_Units</f>
        <v/>
      </c>
      <c r="P36" s="42"/>
      <c r="Q36" s="331" t="str">
        <f t="shared" si="3"/>
        <v/>
      </c>
      <c r="R36" s="332" t="str">
        <f t="shared" si="4"/>
        <v/>
      </c>
      <c r="S36" s="333" t="str">
        <f t="shared" si="5"/>
        <v/>
      </c>
      <c r="T36" s="334" t="str">
        <f t="shared" si="6"/>
        <v/>
      </c>
      <c r="W36" s="116">
        <f t="shared" si="1"/>
        <v>0</v>
      </c>
      <c r="X36" s="116">
        <f t="shared" si="2"/>
        <v>0</v>
      </c>
    </row>
    <row r="37" spans="1:24" ht="6.75" customHeight="1">
      <c r="A37" s="26"/>
      <c r="B37" s="291"/>
      <c r="C37" s="292"/>
      <c r="D37" s="292"/>
      <c r="E37" s="292"/>
      <c r="F37" s="292"/>
      <c r="G37" s="292"/>
      <c r="H37" s="292"/>
      <c r="I37" s="292"/>
      <c r="J37" s="292"/>
      <c r="K37" s="302"/>
      <c r="L37" s="293"/>
      <c r="M37" s="294"/>
      <c r="N37" s="295"/>
      <c r="O37" s="296"/>
      <c r="P37" s="299"/>
      <c r="Q37" s="297"/>
      <c r="R37" s="297"/>
      <c r="S37" s="297"/>
      <c r="T37" s="298"/>
      <c r="W37" s="117"/>
      <c r="X37" s="117"/>
    </row>
    <row r="38" spans="1:24" ht="24.75" customHeight="1">
      <c r="A38" s="26" t="s">
        <v>2</v>
      </c>
      <c r="B38" s="287" t="s">
        <v>108</v>
      </c>
      <c r="C38" s="288"/>
      <c r="D38" s="288"/>
      <c r="E38" s="288"/>
      <c r="F38" s="288"/>
      <c r="G38" s="288"/>
      <c r="H38" s="288"/>
      <c r="I38" s="288"/>
      <c r="J38" s="288"/>
      <c r="K38" s="288"/>
      <c r="L38" s="345" t="str">
        <f>IFERROR(LookupData!$BQ$3,"")</f>
        <v/>
      </c>
      <c r="M38" s="346" t="s">
        <v>305</v>
      </c>
      <c r="N38" s="348">
        <f>IFERROR(X38/VLOOKUP(O38,Energy_Units_Table,2,FALSE),0)</f>
        <v>0</v>
      </c>
      <c r="O38" s="349" t="str">
        <f>$D$20</f>
        <v>Btu x 10^6</v>
      </c>
      <c r="P38" s="300"/>
      <c r="Q38" s="352">
        <f>IFERROR(SUMIF($A$27:$A$36,1,Q$27:Q$36),"")</f>
        <v>0</v>
      </c>
      <c r="R38" s="353">
        <f t="shared" ref="R38:T38" si="7">IFERROR(SUMIF($A$27:$A$36,1,R$27:R$36),"")</f>
        <v>0</v>
      </c>
      <c r="S38" s="354">
        <f t="shared" si="7"/>
        <v>0</v>
      </c>
      <c r="T38" s="355">
        <f t="shared" si="7"/>
        <v>0</v>
      </c>
      <c r="W38" s="117">
        <f>MIN(SUMIF($A$27:$A$36,1,$X$27:$X$36),W20)</f>
        <v>0</v>
      </c>
      <c r="X38" s="117">
        <f>MIN(SUMIF($A$27:$A$36,1,$X$27:$X$36),X20)</f>
        <v>0</v>
      </c>
    </row>
    <row r="39" spans="1:24" ht="24.75" customHeight="1">
      <c r="A39" s="26"/>
      <c r="B39" s="287" t="s">
        <v>109</v>
      </c>
      <c r="C39" s="288"/>
      <c r="D39" s="288"/>
      <c r="E39" s="288"/>
      <c r="F39" s="288"/>
      <c r="G39" s="288"/>
      <c r="H39" s="288"/>
      <c r="I39" s="288"/>
      <c r="J39" s="288"/>
      <c r="K39" s="288"/>
      <c r="L39" s="345" t="str">
        <f>IFERROR(LookupData!$BR$3,"")</f>
        <v/>
      </c>
      <c r="M39" s="346" t="s">
        <v>305</v>
      </c>
      <c r="N39" s="348">
        <f>IFERROR(X39/VLOOKUP(O39,Energy_Units_Table,2,FALSE),0)</f>
        <v>0</v>
      </c>
      <c r="O39" s="349" t="str">
        <f>$D$20</f>
        <v>Btu x 10^6</v>
      </c>
      <c r="P39" s="300"/>
      <c r="Q39" s="352">
        <f>IFERROR(MIN(SUMIF($A$27:$A$36,2,Q$27:Q$36),100%-MIN(Q38,100%)),"")</f>
        <v>0</v>
      </c>
      <c r="R39" s="353">
        <f t="shared" ref="R39:T39" si="8">IFERROR(MIN(SUMIF($A$27:$A$36,2,R$27:R$36),100%-MIN(R38,100%)),"")</f>
        <v>0</v>
      </c>
      <c r="S39" s="354">
        <f t="shared" si="8"/>
        <v>0</v>
      </c>
      <c r="T39" s="355">
        <f t="shared" si="8"/>
        <v>0</v>
      </c>
      <c r="W39" s="117">
        <f>SUMIF($A$27:$A$36,2,$X$27:$X$36)</f>
        <v>0</v>
      </c>
      <c r="X39" s="117">
        <f>SUMIF($A$27:$A$36,2,$X$27:$X$36)</f>
        <v>0</v>
      </c>
    </row>
    <row r="40" spans="1:24" ht="24.75" customHeight="1">
      <c r="A40" s="26"/>
      <c r="B40" s="289" t="s">
        <v>110</v>
      </c>
      <c r="C40" s="290"/>
      <c r="D40" s="290"/>
      <c r="E40" s="290"/>
      <c r="F40" s="290"/>
      <c r="G40" s="290"/>
      <c r="H40" s="290"/>
      <c r="I40" s="290"/>
      <c r="J40" s="290"/>
      <c r="K40" s="290"/>
      <c r="L40" s="345" t="str">
        <f>IFERROR(LookupData!$BS$3,"")</f>
        <v/>
      </c>
      <c r="M40" s="346" t="s">
        <v>305</v>
      </c>
      <c r="N40" s="350">
        <f>IFERROR(X40/VLOOKUP(O40,Energy_Units_Table,2,FALSE),0)</f>
        <v>0</v>
      </c>
      <c r="O40" s="351" t="str">
        <f>$D$20</f>
        <v>Btu x 10^6</v>
      </c>
      <c r="P40" s="300"/>
      <c r="Q40" s="356">
        <f>IFERROR(MIN(SUMIF($A$27:$A$36,3,Q$27:Q$36),100%-MIN(Q39+Q38,100%)),"")</f>
        <v>0</v>
      </c>
      <c r="R40" s="357">
        <f t="shared" ref="R40:T40" si="9">IFERROR(MIN(SUMIF($A$27:$A$36,3,R$27:R$36),100%-MIN(R39+R38,100%)),"")</f>
        <v>0</v>
      </c>
      <c r="S40" s="358">
        <f t="shared" si="9"/>
        <v>0</v>
      </c>
      <c r="T40" s="359">
        <f t="shared" si="9"/>
        <v>0</v>
      </c>
      <c r="W40" s="117">
        <f>SUMIF($A$27:$A$36,3,$X$27:$X$36)</f>
        <v>0</v>
      </c>
      <c r="X40" s="117">
        <f>SUMIF($A$27:$A$36,3,$X$27:$X$36)</f>
        <v>0</v>
      </c>
    </row>
    <row r="41" spans="1:24" ht="6.75" customHeight="1">
      <c r="A41" s="26"/>
      <c r="B41" s="291"/>
      <c r="C41" s="292"/>
      <c r="D41" s="292"/>
      <c r="E41" s="292"/>
      <c r="F41" s="292"/>
      <c r="G41" s="292"/>
      <c r="H41" s="292"/>
      <c r="I41" s="292"/>
      <c r="J41" s="292"/>
      <c r="K41" s="292"/>
      <c r="L41" s="303"/>
      <c r="M41" s="294"/>
      <c r="N41" s="295"/>
      <c r="O41" s="296"/>
      <c r="P41" s="299"/>
      <c r="Q41" s="297"/>
      <c r="R41" s="297"/>
      <c r="S41" s="297"/>
      <c r="T41" s="298"/>
      <c r="W41" s="117"/>
      <c r="X41" s="117"/>
    </row>
    <row r="42" spans="1:24" ht="24.75" customHeight="1">
      <c r="A42" s="26"/>
      <c r="B42" s="289" t="s">
        <v>352</v>
      </c>
      <c r="C42" s="290"/>
      <c r="D42" s="290"/>
      <c r="E42" s="290"/>
      <c r="F42" s="290"/>
      <c r="G42" s="290"/>
      <c r="H42" s="290"/>
      <c r="I42" s="290"/>
      <c r="J42" s="290"/>
      <c r="K42" s="290"/>
      <c r="L42" s="347">
        <f>IFERROR(LookupData!$BU$3,"")</f>
        <v>0</v>
      </c>
      <c r="M42" s="367" t="str">
        <f>IFERROR(IF(LookupData!$BV$3="EP","Points + 1 Exemplary","Points"),"")</f>
        <v>Points</v>
      </c>
      <c r="N42" s="350">
        <f>IFERROR(X42/VLOOKUP(O42,Energy_Units_Table,2,FALSE),0)</f>
        <v>0</v>
      </c>
      <c r="O42" s="351" t="str">
        <f>$D$20</f>
        <v>Btu x 10^6</v>
      </c>
      <c r="P42" s="301"/>
      <c r="Q42" s="356">
        <f>IFERROR(MIN(SUMIF($A$27:$A$36,3,Q$27:Q$36),100%-MIN(Q40+Q39,100%)),"")</f>
        <v>0</v>
      </c>
      <c r="R42" s="357">
        <f>IFERROR(MIN(SUMIF($A$27:$A$36,3,R$27:R$36),100%-MIN(R40+R39,100%)),"")</f>
        <v>0</v>
      </c>
      <c r="S42" s="358">
        <f>IFERROR(MIN(SUMIF($A$27:$A$36,3,S$27:S$36),100%-MIN(S40+S39,100%)),"")</f>
        <v>0</v>
      </c>
      <c r="T42" s="359">
        <f>IFERROR(MIN(SUMIF($A$27:$A$36,3,T$27:T$36),100%-MIN(T40+T39,100%)),"")</f>
        <v>0</v>
      </c>
      <c r="W42" s="117">
        <f>SUMIF($A$27:$A$36,3,$X$27:$X$36)</f>
        <v>0</v>
      </c>
      <c r="X42" s="117">
        <f>SUMIF($A$27:$A$36,3,$X$27:$X$36)</f>
        <v>0</v>
      </c>
    </row>
    <row r="43" spans="1:24" ht="8.25" customHeight="1">
      <c r="B43" s="275"/>
      <c r="C43" s="276"/>
      <c r="D43" s="276"/>
      <c r="E43" s="276"/>
      <c r="F43" s="276"/>
      <c r="G43" s="276"/>
      <c r="H43" s="276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</row>
    <row r="44" spans="1:24" ht="10.5" customHeight="1">
      <c r="B44" s="275"/>
      <c r="C44" s="276"/>
      <c r="D44" s="276"/>
      <c r="E44" s="276"/>
      <c r="F44" s="276"/>
      <c r="G44" s="276"/>
      <c r="H44" s="276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</row>
    <row r="45" spans="1:24" ht="23.25" customHeight="1">
      <c r="B45" s="275" t="s">
        <v>121</v>
      </c>
      <c r="C45" s="276"/>
      <c r="D45" s="276"/>
      <c r="E45" s="276"/>
      <c r="F45" s="276"/>
      <c r="G45" s="276"/>
      <c r="H45" s="276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</row>
    <row r="46" spans="1:24" ht="23.25" customHeight="1">
      <c r="B46" s="277" t="s">
        <v>122</v>
      </c>
      <c r="C46" s="276"/>
      <c r="D46" s="276"/>
      <c r="E46" s="276"/>
      <c r="F46" s="276"/>
      <c r="G46" s="276"/>
      <c r="H46" s="276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</row>
    <row r="47" spans="1:24" ht="24" customHeight="1">
      <c r="B47" s="278" t="s">
        <v>123</v>
      </c>
      <c r="C47" s="276"/>
      <c r="D47" s="276"/>
      <c r="E47" s="276"/>
      <c r="F47" s="276"/>
      <c r="G47" s="276"/>
      <c r="H47" s="276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</row>
    <row r="48" spans="1:24" ht="12.75" customHeight="1">
      <c r="B48" s="277" t="s">
        <v>307</v>
      </c>
      <c r="C48" s="276"/>
      <c r="D48" s="276"/>
      <c r="E48" s="276"/>
      <c r="F48" s="276"/>
      <c r="G48" s="276"/>
      <c r="H48" s="276"/>
      <c r="I48" s="276"/>
      <c r="J48" s="276"/>
      <c r="K48" s="276"/>
      <c r="L48" s="276"/>
      <c r="M48" s="276"/>
      <c r="N48" s="276"/>
      <c r="O48" s="276"/>
      <c r="P48" s="276"/>
      <c r="Q48" s="276"/>
      <c r="R48" s="276"/>
      <c r="S48" s="276"/>
      <c r="T48" s="276"/>
    </row>
    <row r="49" spans="2:20" ht="12.75" customHeight="1">
      <c r="B49" s="277" t="s">
        <v>134</v>
      </c>
      <c r="C49" s="276"/>
      <c r="D49" s="276"/>
      <c r="E49" s="276"/>
      <c r="F49" s="276"/>
      <c r="G49" s="276"/>
      <c r="H49" s="276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</row>
    <row r="50" spans="2:20" ht="12.75" customHeight="1">
      <c r="B50" s="277" t="s">
        <v>132</v>
      </c>
      <c r="C50" s="276"/>
      <c r="D50" s="276"/>
      <c r="E50" s="276"/>
      <c r="F50" s="276"/>
      <c r="G50" s="276"/>
      <c r="H50" s="276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</row>
    <row r="51" spans="2:20" ht="12.75" customHeight="1">
      <c r="B51" s="277" t="s">
        <v>133</v>
      </c>
      <c r="C51" s="276"/>
      <c r="D51" s="276"/>
      <c r="E51" s="276"/>
      <c r="F51" s="276"/>
      <c r="G51" s="276"/>
      <c r="H51" s="276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</row>
    <row r="52" spans="2:20" ht="12.75" customHeight="1">
      <c r="B52" s="277"/>
      <c r="C52" s="276"/>
      <c r="D52" s="276"/>
      <c r="E52" s="276"/>
      <c r="F52" s="276"/>
      <c r="G52" s="276"/>
      <c r="H52" s="276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</row>
    <row r="53" spans="2:20" ht="12.75" customHeight="1">
      <c r="B53" s="278" t="s">
        <v>145</v>
      </c>
      <c r="C53" s="276"/>
      <c r="D53" s="276"/>
      <c r="E53" s="276"/>
      <c r="F53" s="276"/>
      <c r="G53" s="276"/>
      <c r="H53" s="276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</row>
    <row r="54" spans="2:20" ht="12.75" customHeight="1">
      <c r="B54" s="277" t="s">
        <v>146</v>
      </c>
      <c r="C54" s="276"/>
      <c r="D54" s="276"/>
      <c r="E54" s="276"/>
      <c r="F54" s="276"/>
      <c r="G54" s="276"/>
      <c r="H54" s="276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</row>
    <row r="55" spans="2:20" ht="24" customHeight="1">
      <c r="B55" s="278" t="s">
        <v>124</v>
      </c>
      <c r="C55" s="276"/>
      <c r="D55" s="276"/>
      <c r="E55" s="276"/>
      <c r="F55" s="276"/>
      <c r="G55" s="276"/>
      <c r="H55" s="276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</row>
    <row r="56" spans="2:20" ht="12.75" customHeight="1">
      <c r="B56" s="277" t="s">
        <v>135</v>
      </c>
      <c r="C56" s="276"/>
      <c r="D56" s="276"/>
      <c r="E56" s="276"/>
      <c r="F56" s="276"/>
      <c r="G56" s="276"/>
      <c r="H56" s="276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</row>
    <row r="57" spans="2:20" ht="12.75" customHeight="1">
      <c r="B57" s="277" t="s">
        <v>136</v>
      </c>
      <c r="C57" s="276"/>
      <c r="D57" s="276"/>
      <c r="E57" s="276"/>
      <c r="F57" s="276"/>
      <c r="G57" s="276"/>
      <c r="H57" s="276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</row>
    <row r="58" spans="2:20" ht="12.75" customHeight="1">
      <c r="B58" s="277" t="s">
        <v>137</v>
      </c>
      <c r="C58" s="276"/>
      <c r="D58" s="276"/>
      <c r="E58" s="276"/>
      <c r="F58" s="276"/>
      <c r="G58" s="276"/>
      <c r="H58" s="276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</row>
    <row r="59" spans="2:20" ht="12.75" customHeight="1">
      <c r="B59" s="277" t="s">
        <v>131</v>
      </c>
      <c r="C59" s="276"/>
      <c r="D59" s="276"/>
      <c r="E59" s="276"/>
      <c r="F59" s="276"/>
      <c r="G59" s="276"/>
      <c r="H59" s="276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</row>
    <row r="60" spans="2:20" ht="12.75" customHeight="1">
      <c r="B60" s="277" t="s">
        <v>147</v>
      </c>
      <c r="C60" s="276"/>
      <c r="D60" s="276"/>
      <c r="E60" s="276"/>
      <c r="F60" s="276"/>
      <c r="G60" s="276"/>
      <c r="H60" s="276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</row>
    <row r="61" spans="2:20" ht="12.75" customHeight="1">
      <c r="B61" s="277" t="s">
        <v>148</v>
      </c>
      <c r="C61" s="276"/>
      <c r="D61" s="276"/>
      <c r="E61" s="276"/>
      <c r="F61" s="276"/>
      <c r="G61" s="276"/>
      <c r="H61" s="276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</row>
    <row r="62" spans="2:20" ht="12.75" customHeight="1">
      <c r="B62" s="277" t="s">
        <v>321</v>
      </c>
      <c r="C62" s="276"/>
      <c r="D62" s="276"/>
      <c r="E62" s="276"/>
      <c r="F62" s="276"/>
      <c r="G62" s="276"/>
      <c r="H62" s="276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</row>
    <row r="63" spans="2:20" ht="12.75" customHeight="1">
      <c r="B63" s="277" t="s">
        <v>322</v>
      </c>
      <c r="C63" s="276"/>
      <c r="D63" s="276"/>
      <c r="E63" s="276"/>
      <c r="F63" s="276"/>
      <c r="G63" s="276"/>
      <c r="H63" s="276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</row>
    <row r="64" spans="2:20" ht="12.75" customHeight="1">
      <c r="B64" s="277" t="s">
        <v>323</v>
      </c>
      <c r="C64" s="276"/>
      <c r="D64" s="276"/>
      <c r="E64" s="276"/>
      <c r="F64" s="276"/>
      <c r="G64" s="276"/>
      <c r="H64" s="276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</row>
    <row r="65" spans="2:20" ht="12.75" customHeight="1">
      <c r="B65" s="277" t="s">
        <v>324</v>
      </c>
      <c r="C65" s="276"/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6"/>
      <c r="P65" s="276"/>
      <c r="Q65" s="276"/>
      <c r="R65" s="276"/>
      <c r="S65" s="276"/>
      <c r="T65" s="276"/>
    </row>
    <row r="66" spans="2:20" ht="12.75" customHeight="1">
      <c r="B66" s="277" t="s">
        <v>325</v>
      </c>
      <c r="C66" s="276"/>
      <c r="D66" s="276"/>
      <c r="E66" s="276"/>
      <c r="F66" s="276"/>
      <c r="G66" s="276"/>
      <c r="H66" s="276"/>
      <c r="I66" s="276"/>
      <c r="J66" s="276"/>
      <c r="K66" s="276"/>
      <c r="L66" s="276"/>
      <c r="M66" s="276"/>
      <c r="N66" s="276"/>
      <c r="O66" s="276"/>
      <c r="P66" s="276"/>
      <c r="Q66" s="276"/>
      <c r="R66" s="276"/>
      <c r="S66" s="276"/>
      <c r="T66" s="276"/>
    </row>
    <row r="67" spans="2:20" ht="12.75" customHeight="1">
      <c r="B67" s="277" t="s">
        <v>326</v>
      </c>
      <c r="C67" s="276"/>
      <c r="D67" s="276"/>
      <c r="E67" s="276"/>
      <c r="F67" s="276"/>
      <c r="G67" s="276"/>
      <c r="H67" s="276"/>
      <c r="I67" s="276"/>
      <c r="J67" s="276"/>
      <c r="K67" s="276"/>
      <c r="L67" s="276"/>
      <c r="M67" s="276"/>
      <c r="N67" s="276"/>
      <c r="O67" s="276"/>
      <c r="P67" s="276"/>
      <c r="Q67" s="276"/>
      <c r="R67" s="276"/>
      <c r="S67" s="276"/>
      <c r="T67" s="276"/>
    </row>
    <row r="68" spans="2:20" ht="24" customHeight="1">
      <c r="B68" s="278" t="s">
        <v>268</v>
      </c>
      <c r="C68" s="276"/>
      <c r="D68" s="276"/>
      <c r="E68" s="276"/>
      <c r="F68" s="276"/>
      <c r="G68" s="276"/>
      <c r="H68" s="276"/>
      <c r="I68" s="276"/>
      <c r="J68" s="276"/>
      <c r="K68" s="276"/>
      <c r="L68" s="276"/>
      <c r="M68" s="276"/>
      <c r="N68" s="276"/>
      <c r="O68" s="276"/>
      <c r="P68" s="276"/>
      <c r="Q68" s="276"/>
      <c r="R68" s="276"/>
      <c r="S68" s="276"/>
      <c r="T68" s="276"/>
    </row>
    <row r="69" spans="2:20" ht="12.75" customHeight="1">
      <c r="B69" s="277" t="s">
        <v>299</v>
      </c>
      <c r="C69" s="276"/>
      <c r="D69" s="276"/>
      <c r="E69" s="276"/>
      <c r="F69" s="276"/>
      <c r="G69" s="276"/>
      <c r="H69" s="276"/>
      <c r="I69" s="276"/>
      <c r="J69" s="276"/>
      <c r="K69" s="276"/>
      <c r="L69" s="276"/>
      <c r="M69" s="276"/>
      <c r="N69" s="276"/>
      <c r="O69" s="276"/>
      <c r="P69" s="276"/>
      <c r="Q69" s="276"/>
      <c r="R69" s="276"/>
      <c r="S69" s="276"/>
      <c r="T69" s="276"/>
    </row>
    <row r="70" spans="2:20" ht="12.75" customHeight="1">
      <c r="B70" s="277" t="s">
        <v>274</v>
      </c>
      <c r="C70" s="276"/>
      <c r="D70" s="276"/>
      <c r="E70" s="276"/>
      <c r="F70" s="276"/>
      <c r="G70" s="276"/>
      <c r="H70" s="276"/>
      <c r="I70" s="276"/>
      <c r="J70" s="276"/>
      <c r="K70" s="276"/>
      <c r="L70" s="276"/>
      <c r="M70" s="276"/>
      <c r="N70" s="276"/>
      <c r="O70" s="276"/>
      <c r="P70" s="276"/>
      <c r="Q70" s="276"/>
      <c r="R70" s="276"/>
      <c r="S70" s="276"/>
      <c r="T70" s="276"/>
    </row>
    <row r="71" spans="2:20" ht="12.75" customHeight="1">
      <c r="B71" s="277" t="s">
        <v>275</v>
      </c>
      <c r="C71" s="276"/>
      <c r="D71" s="276"/>
      <c r="E71" s="276"/>
      <c r="F71" s="276"/>
      <c r="G71" s="276"/>
      <c r="H71" s="276"/>
      <c r="I71" s="276"/>
      <c r="J71" s="276"/>
      <c r="K71" s="276"/>
      <c r="L71" s="276"/>
      <c r="M71" s="276"/>
      <c r="N71" s="276"/>
      <c r="O71" s="276"/>
      <c r="P71" s="276"/>
      <c r="Q71" s="276"/>
      <c r="R71" s="276"/>
      <c r="S71" s="276"/>
      <c r="T71" s="276"/>
    </row>
    <row r="72" spans="2:20" ht="12.75" customHeight="1">
      <c r="B72" s="277" t="s">
        <v>291</v>
      </c>
      <c r="C72" s="276"/>
      <c r="D72" s="276"/>
      <c r="E72" s="276"/>
      <c r="F72" s="276"/>
      <c r="G72" s="276"/>
      <c r="H72" s="276"/>
      <c r="I72" s="276"/>
      <c r="J72" s="276"/>
      <c r="K72" s="276"/>
      <c r="L72" s="276"/>
      <c r="M72" s="276"/>
      <c r="N72" s="276"/>
      <c r="O72" s="276"/>
      <c r="P72" s="276"/>
      <c r="Q72" s="276"/>
      <c r="R72" s="276"/>
      <c r="S72" s="276"/>
      <c r="T72" s="276"/>
    </row>
    <row r="73" spans="2:20" ht="12.75" customHeight="1">
      <c r="B73" s="277" t="s">
        <v>292</v>
      </c>
      <c r="C73" s="276"/>
      <c r="D73" s="276"/>
      <c r="E73" s="276"/>
      <c r="F73" s="276"/>
      <c r="G73" s="276"/>
      <c r="H73" s="276"/>
      <c r="I73" s="276"/>
      <c r="J73" s="276"/>
      <c r="K73" s="276"/>
      <c r="L73" s="276"/>
      <c r="M73" s="276"/>
      <c r="N73" s="276"/>
      <c r="O73" s="276"/>
      <c r="P73" s="276"/>
      <c r="Q73" s="276"/>
      <c r="R73" s="276"/>
      <c r="S73" s="276"/>
      <c r="T73" s="276"/>
    </row>
    <row r="74" spans="2:20" ht="12.75" customHeight="1">
      <c r="B74" s="277" t="s">
        <v>271</v>
      </c>
      <c r="C74" s="276"/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6"/>
      <c r="P74" s="276"/>
      <c r="Q74" s="276"/>
      <c r="R74" s="276"/>
      <c r="S74" s="276"/>
      <c r="T74" s="276"/>
    </row>
    <row r="75" spans="2:20" ht="12.75" customHeight="1">
      <c r="B75" s="277" t="s">
        <v>276</v>
      </c>
      <c r="C75" s="276"/>
      <c r="D75" s="276"/>
      <c r="E75" s="276"/>
      <c r="F75" s="276"/>
      <c r="G75" s="276"/>
      <c r="H75" s="276"/>
      <c r="I75" s="276"/>
      <c r="J75" s="276"/>
      <c r="K75" s="276"/>
      <c r="L75" s="276"/>
      <c r="M75" s="276"/>
      <c r="N75" s="276"/>
      <c r="O75" s="276"/>
      <c r="P75" s="276"/>
      <c r="Q75" s="276"/>
      <c r="R75" s="276"/>
      <c r="S75" s="276"/>
      <c r="T75" s="276"/>
    </row>
    <row r="76" spans="2:20" ht="12.75" customHeight="1">
      <c r="B76" s="277" t="s">
        <v>270</v>
      </c>
      <c r="C76" s="276"/>
      <c r="D76" s="276"/>
      <c r="E76" s="276"/>
      <c r="F76" s="276"/>
      <c r="G76" s="276"/>
      <c r="H76" s="276"/>
      <c r="I76" s="276"/>
      <c r="J76" s="276"/>
      <c r="K76" s="276"/>
      <c r="L76" s="276"/>
      <c r="M76" s="276"/>
      <c r="N76" s="276"/>
      <c r="O76" s="276"/>
      <c r="P76" s="276"/>
      <c r="Q76" s="276"/>
      <c r="R76" s="276"/>
      <c r="S76" s="276"/>
      <c r="T76" s="276"/>
    </row>
    <row r="77" spans="2:20" ht="12.75" customHeight="1">
      <c r="B77" s="277" t="s">
        <v>316</v>
      </c>
      <c r="C77" s="276"/>
      <c r="D77" s="276"/>
      <c r="E77" s="276"/>
      <c r="F77" s="276"/>
      <c r="G77" s="276"/>
      <c r="H77" s="276"/>
      <c r="I77" s="276"/>
      <c r="J77" s="276"/>
      <c r="K77" s="276"/>
      <c r="L77" s="276"/>
      <c r="M77" s="276"/>
      <c r="N77" s="276"/>
      <c r="O77" s="276"/>
      <c r="P77" s="276"/>
      <c r="Q77" s="276"/>
      <c r="R77" s="276"/>
      <c r="S77" s="276"/>
      <c r="T77" s="276"/>
    </row>
    <row r="78" spans="2:20" ht="12.75" customHeight="1">
      <c r="B78" s="277" t="s">
        <v>272</v>
      </c>
      <c r="C78" s="276"/>
      <c r="D78" s="276"/>
      <c r="E78" s="276"/>
      <c r="F78" s="276"/>
      <c r="G78" s="276"/>
      <c r="H78" s="276"/>
      <c r="I78" s="276"/>
      <c r="J78" s="276"/>
      <c r="K78" s="276"/>
      <c r="L78" s="276"/>
      <c r="M78" s="276"/>
      <c r="N78" s="276"/>
      <c r="O78" s="276"/>
      <c r="P78" s="276"/>
      <c r="Q78" s="276"/>
      <c r="R78" s="276"/>
      <c r="S78" s="276"/>
      <c r="T78" s="276"/>
    </row>
    <row r="79" spans="2:20" ht="12.75" customHeight="1">
      <c r="B79" s="277" t="s">
        <v>273</v>
      </c>
      <c r="C79" s="276"/>
      <c r="D79" s="276"/>
      <c r="E79" s="276"/>
      <c r="F79" s="276"/>
      <c r="G79" s="276"/>
      <c r="H79" s="276"/>
      <c r="I79" s="276"/>
      <c r="J79" s="276"/>
      <c r="K79" s="276"/>
      <c r="L79" s="276"/>
      <c r="M79" s="276"/>
      <c r="N79" s="276"/>
      <c r="O79" s="276"/>
      <c r="P79" s="276"/>
      <c r="Q79" s="276"/>
      <c r="R79" s="276"/>
      <c r="S79" s="276"/>
      <c r="T79" s="276"/>
    </row>
    <row r="80" spans="2:20" ht="12.75" customHeight="1">
      <c r="B80" s="277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</row>
    <row r="81" spans="1:20" ht="12.75" customHeight="1">
      <c r="B81" s="278" t="s">
        <v>142</v>
      </c>
      <c r="C81" s="276"/>
      <c r="D81" s="276"/>
      <c r="E81" s="276"/>
      <c r="F81" s="276"/>
      <c r="G81" s="276"/>
      <c r="H81" s="276"/>
      <c r="I81" s="276"/>
      <c r="J81" s="276"/>
      <c r="K81" s="276"/>
      <c r="L81" s="276"/>
      <c r="M81" s="276"/>
      <c r="N81" s="276"/>
      <c r="O81" s="276"/>
      <c r="P81" s="276"/>
      <c r="Q81" s="276"/>
      <c r="R81" s="276"/>
      <c r="S81" s="276"/>
      <c r="T81" s="276"/>
    </row>
    <row r="82" spans="1:20" ht="12.75" customHeight="1">
      <c r="B82" s="277" t="s">
        <v>143</v>
      </c>
      <c r="C82" s="276"/>
      <c r="D82" s="276"/>
      <c r="E82" s="276"/>
      <c r="F82" s="276"/>
      <c r="G82" s="276"/>
      <c r="H82" s="276"/>
      <c r="I82" s="276"/>
      <c r="J82" s="276"/>
      <c r="K82" s="276"/>
      <c r="L82" s="276"/>
      <c r="M82" s="276"/>
      <c r="N82" s="276"/>
      <c r="O82" s="276"/>
      <c r="P82" s="276"/>
      <c r="Q82" s="276"/>
      <c r="R82" s="276"/>
      <c r="S82" s="276"/>
      <c r="T82" s="276"/>
    </row>
    <row r="83" spans="1:20" ht="12.75" customHeight="1">
      <c r="B83" s="277" t="s">
        <v>144</v>
      </c>
      <c r="C83" s="276"/>
      <c r="D83" s="276"/>
      <c r="E83" s="276"/>
      <c r="F83" s="276"/>
      <c r="G83" s="276"/>
      <c r="H83" s="276"/>
      <c r="I83" s="276"/>
      <c r="J83" s="276"/>
      <c r="K83" s="276"/>
      <c r="L83" s="276"/>
      <c r="M83" s="276"/>
      <c r="N83" s="276"/>
      <c r="O83" s="276"/>
      <c r="P83" s="276"/>
      <c r="Q83" s="276"/>
      <c r="R83" s="276"/>
      <c r="S83" s="276"/>
      <c r="T83" s="276"/>
    </row>
    <row r="84" spans="1:20" ht="12.75" customHeight="1">
      <c r="B84" s="277" t="s">
        <v>298</v>
      </c>
      <c r="C84" s="276"/>
      <c r="D84" s="276"/>
      <c r="E84" s="276"/>
      <c r="F84" s="276"/>
      <c r="G84" s="276"/>
      <c r="H84" s="276"/>
      <c r="I84" s="276"/>
      <c r="J84" s="276"/>
      <c r="K84" s="276"/>
      <c r="L84" s="276"/>
      <c r="M84" s="276"/>
      <c r="N84" s="276"/>
      <c r="O84" s="276"/>
      <c r="P84" s="276"/>
      <c r="Q84" s="276"/>
      <c r="R84" s="276"/>
      <c r="S84" s="276"/>
      <c r="T84" s="276"/>
    </row>
    <row r="85" spans="1:20" ht="12.75" customHeight="1">
      <c r="B85" s="279" t="s">
        <v>269</v>
      </c>
      <c r="C85" s="276"/>
      <c r="D85" s="276"/>
      <c r="E85" s="276"/>
      <c r="F85" s="276"/>
      <c r="G85" s="276"/>
      <c r="H85" s="276"/>
      <c r="I85" s="276"/>
      <c r="J85" s="276"/>
      <c r="K85" s="276"/>
      <c r="L85" s="276"/>
      <c r="M85" s="276"/>
      <c r="N85" s="276"/>
      <c r="O85" s="276"/>
      <c r="P85" s="276"/>
      <c r="Q85" s="276"/>
      <c r="R85" s="276"/>
      <c r="S85" s="276"/>
      <c r="T85" s="276"/>
    </row>
    <row r="86" spans="1:20" ht="12.75" customHeight="1">
      <c r="B86" s="279" t="s">
        <v>139</v>
      </c>
      <c r="C86" s="276"/>
      <c r="D86" s="276"/>
      <c r="E86" s="276"/>
      <c r="F86" s="276"/>
      <c r="G86" s="276"/>
      <c r="H86" s="276"/>
      <c r="I86" s="276"/>
      <c r="J86" s="276"/>
      <c r="K86" s="276"/>
      <c r="L86" s="276"/>
      <c r="M86" s="276"/>
      <c r="N86" s="276"/>
      <c r="O86" s="276"/>
      <c r="P86" s="276"/>
      <c r="Q86" s="276"/>
      <c r="R86" s="276"/>
      <c r="S86" s="276"/>
      <c r="T86" s="276"/>
    </row>
    <row r="87" spans="1:20" ht="12.75" customHeight="1">
      <c r="B87" s="279" t="s">
        <v>140</v>
      </c>
      <c r="C87" s="276"/>
      <c r="D87" s="276"/>
      <c r="E87" s="276"/>
      <c r="F87" s="276"/>
      <c r="G87" s="276"/>
      <c r="H87" s="276"/>
      <c r="I87" s="276"/>
      <c r="J87" s="276"/>
      <c r="K87" s="276"/>
      <c r="L87" s="276"/>
      <c r="M87" s="276"/>
      <c r="N87" s="276"/>
      <c r="O87" s="276"/>
      <c r="P87" s="276"/>
      <c r="Q87" s="276"/>
      <c r="R87" s="276"/>
      <c r="S87" s="276"/>
      <c r="T87" s="276"/>
    </row>
    <row r="88" spans="1:20" ht="12.75" customHeight="1">
      <c r="A88" s="77"/>
      <c r="B88" s="279" t="s">
        <v>141</v>
      </c>
      <c r="C88" s="276"/>
      <c r="D88" s="276"/>
      <c r="E88" s="276"/>
      <c r="F88" s="276"/>
      <c r="G88" s="276"/>
      <c r="H88" s="276"/>
      <c r="I88" s="276"/>
      <c r="J88" s="276"/>
      <c r="K88" s="276"/>
      <c r="L88" s="276"/>
      <c r="M88" s="276"/>
      <c r="N88" s="276"/>
      <c r="O88" s="276"/>
      <c r="P88" s="276"/>
      <c r="Q88" s="276"/>
      <c r="R88" s="276"/>
      <c r="S88" s="276"/>
      <c r="T88" s="276"/>
    </row>
    <row r="89" spans="1:20" ht="12.75" customHeight="1">
      <c r="A89" s="77"/>
      <c r="B89" s="279"/>
      <c r="C89" s="276"/>
      <c r="D89" s="276"/>
      <c r="E89" s="276"/>
      <c r="F89" s="276"/>
      <c r="G89" s="276"/>
      <c r="H89" s="276"/>
      <c r="I89" s="276"/>
      <c r="J89" s="276"/>
      <c r="K89" s="276"/>
      <c r="L89" s="276"/>
      <c r="M89" s="276"/>
      <c r="N89" s="276"/>
      <c r="O89" s="276"/>
      <c r="P89" s="276"/>
      <c r="Q89" s="276"/>
      <c r="R89" s="276"/>
      <c r="S89" s="276"/>
      <c r="T89" s="276"/>
    </row>
    <row r="90" spans="1:20" ht="12.75" customHeight="1">
      <c r="A90" s="77"/>
      <c r="B90" s="278" t="s">
        <v>277</v>
      </c>
      <c r="C90" s="276"/>
      <c r="D90" s="276"/>
      <c r="E90" s="276"/>
      <c r="F90" s="276"/>
      <c r="G90" s="276"/>
      <c r="H90" s="276"/>
      <c r="I90" s="276"/>
      <c r="J90" s="276"/>
      <c r="K90" s="276"/>
      <c r="L90" s="276"/>
      <c r="M90" s="276"/>
      <c r="N90" s="276"/>
      <c r="O90" s="276"/>
      <c r="P90" s="276"/>
      <c r="Q90" s="276"/>
      <c r="R90" s="276"/>
      <c r="S90" s="276"/>
      <c r="T90" s="276"/>
    </row>
    <row r="91" spans="1:20" ht="12.75" customHeight="1">
      <c r="A91" s="77"/>
      <c r="B91" s="278" t="s">
        <v>287</v>
      </c>
      <c r="C91" s="276"/>
      <c r="D91" s="276"/>
      <c r="E91" s="276"/>
      <c r="F91" s="276"/>
      <c r="G91" s="276"/>
      <c r="H91" s="276"/>
      <c r="I91" s="276"/>
      <c r="J91" s="276"/>
      <c r="K91" s="276"/>
      <c r="L91" s="276"/>
      <c r="M91" s="276"/>
      <c r="N91" s="276"/>
      <c r="O91" s="276"/>
      <c r="P91" s="276"/>
      <c r="Q91" s="276"/>
      <c r="R91" s="276"/>
      <c r="S91" s="276"/>
      <c r="T91" s="276"/>
    </row>
    <row r="92" spans="1:20" ht="12.75" customHeight="1">
      <c r="A92" s="77"/>
      <c r="B92" s="278" t="s">
        <v>279</v>
      </c>
      <c r="C92" s="276"/>
      <c r="D92" s="276"/>
      <c r="E92" s="276"/>
      <c r="F92" s="276"/>
      <c r="G92" s="276"/>
      <c r="H92" s="276"/>
      <c r="I92" s="276"/>
      <c r="J92" s="276"/>
      <c r="K92" s="276"/>
      <c r="L92" s="276"/>
      <c r="M92" s="276"/>
      <c r="N92" s="276"/>
      <c r="O92" s="276"/>
      <c r="P92" s="276"/>
      <c r="Q92" s="276"/>
      <c r="R92" s="276"/>
      <c r="S92" s="276"/>
      <c r="T92" s="276"/>
    </row>
    <row r="93" spans="1:20" ht="12.75" customHeight="1">
      <c r="A93" s="77"/>
      <c r="B93" s="278" t="s">
        <v>280</v>
      </c>
      <c r="C93" s="276"/>
      <c r="D93" s="276"/>
      <c r="E93" s="276"/>
      <c r="F93" s="276"/>
      <c r="G93" s="276"/>
      <c r="H93" s="276"/>
      <c r="I93" s="276"/>
      <c r="J93" s="276"/>
      <c r="K93" s="276"/>
      <c r="L93" s="276"/>
      <c r="M93" s="276"/>
      <c r="N93" s="276"/>
      <c r="O93" s="276"/>
      <c r="P93" s="276"/>
      <c r="Q93" s="276"/>
      <c r="R93" s="276"/>
      <c r="S93" s="276"/>
      <c r="T93" s="276"/>
    </row>
    <row r="94" spans="1:20" ht="12.75" customHeight="1">
      <c r="A94" s="77"/>
      <c r="B94" s="278" t="s">
        <v>300</v>
      </c>
      <c r="C94" s="276"/>
      <c r="D94" s="276"/>
      <c r="E94" s="276"/>
      <c r="F94" s="276"/>
      <c r="G94" s="276"/>
      <c r="H94" s="276"/>
      <c r="I94" s="276"/>
      <c r="J94" s="276"/>
      <c r="K94" s="276"/>
      <c r="L94" s="276"/>
      <c r="M94" s="276"/>
      <c r="N94" s="276"/>
      <c r="O94" s="276"/>
      <c r="P94" s="276"/>
      <c r="Q94" s="276"/>
      <c r="R94" s="276"/>
      <c r="S94" s="276"/>
      <c r="T94" s="276"/>
    </row>
    <row r="95" spans="1:20" ht="12.75" customHeight="1">
      <c r="A95" s="77"/>
      <c r="B95" s="278" t="s">
        <v>281</v>
      </c>
      <c r="C95" s="276"/>
      <c r="D95" s="276"/>
      <c r="E95" s="276"/>
      <c r="F95" s="276"/>
      <c r="G95" s="276"/>
      <c r="H95" s="276"/>
      <c r="I95" s="276"/>
      <c r="J95" s="276"/>
      <c r="K95" s="276"/>
      <c r="L95" s="276"/>
      <c r="M95" s="276"/>
      <c r="N95" s="276"/>
      <c r="O95" s="276"/>
      <c r="P95" s="276"/>
      <c r="Q95" s="276"/>
      <c r="R95" s="276"/>
      <c r="S95" s="276"/>
      <c r="T95" s="276"/>
    </row>
    <row r="96" spans="1:20" ht="12.75" customHeight="1">
      <c r="A96" s="77"/>
      <c r="B96" s="278" t="s">
        <v>282</v>
      </c>
      <c r="C96" s="276"/>
      <c r="D96" s="276"/>
      <c r="E96" s="276"/>
      <c r="F96" s="276"/>
      <c r="G96" s="276"/>
      <c r="H96" s="276"/>
      <c r="I96" s="276"/>
      <c r="J96" s="276"/>
      <c r="K96" s="276"/>
      <c r="L96" s="276"/>
      <c r="M96" s="276"/>
      <c r="N96" s="276"/>
      <c r="O96" s="276"/>
      <c r="P96" s="276"/>
      <c r="Q96" s="276"/>
      <c r="R96" s="276"/>
      <c r="S96" s="276"/>
      <c r="T96" s="276"/>
    </row>
    <row r="97" spans="1:20" ht="12.75" customHeight="1">
      <c r="A97" s="77"/>
      <c r="B97" s="278" t="s">
        <v>301</v>
      </c>
      <c r="C97" s="276"/>
      <c r="D97" s="276"/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</row>
    <row r="98" spans="1:20" ht="12.75" customHeight="1">
      <c r="A98" s="77"/>
      <c r="B98" s="278" t="s">
        <v>318</v>
      </c>
      <c r="C98" s="276"/>
      <c r="D98" s="276"/>
      <c r="E98" s="276"/>
      <c r="F98" s="276"/>
      <c r="G98" s="276"/>
      <c r="H98" s="276"/>
      <c r="I98" s="276"/>
      <c r="J98" s="276"/>
      <c r="K98" s="276"/>
      <c r="L98" s="276"/>
      <c r="M98" s="276"/>
      <c r="N98" s="276"/>
      <c r="O98" s="276"/>
      <c r="P98" s="276"/>
      <c r="Q98" s="276"/>
      <c r="R98" s="276"/>
      <c r="S98" s="276"/>
      <c r="T98" s="276"/>
    </row>
    <row r="99" spans="1:20" ht="12.75" customHeight="1">
      <c r="A99" s="77"/>
      <c r="B99" s="280" t="s">
        <v>317</v>
      </c>
      <c r="C99" s="276"/>
      <c r="D99" s="276"/>
      <c r="E99" s="276"/>
      <c r="F99" s="276"/>
      <c r="G99" s="276"/>
      <c r="H99" s="276"/>
      <c r="I99" s="276"/>
      <c r="J99" s="276"/>
      <c r="K99" s="276"/>
      <c r="L99" s="276"/>
      <c r="M99" s="276"/>
      <c r="N99" s="276"/>
      <c r="O99" s="276"/>
      <c r="P99" s="276"/>
      <c r="Q99" s="276"/>
      <c r="R99" s="276"/>
      <c r="S99" s="276"/>
      <c r="T99" s="276"/>
    </row>
    <row r="100" spans="1:20" ht="12.75" customHeight="1">
      <c r="A100" s="77"/>
      <c r="B100" s="278" t="s">
        <v>283</v>
      </c>
      <c r="C100" s="276"/>
      <c r="D100" s="276"/>
      <c r="E100" s="276"/>
      <c r="F100" s="276"/>
      <c r="G100" s="276"/>
      <c r="H100" s="276"/>
      <c r="I100" s="276"/>
      <c r="J100" s="276"/>
      <c r="K100" s="276"/>
      <c r="L100" s="276"/>
      <c r="M100" s="276"/>
      <c r="N100" s="276"/>
      <c r="O100" s="276"/>
      <c r="P100" s="276"/>
      <c r="Q100" s="276"/>
      <c r="R100" s="276"/>
      <c r="S100" s="276"/>
      <c r="T100" s="276"/>
    </row>
    <row r="101" spans="1:20" ht="12.75" customHeight="1">
      <c r="A101" s="77"/>
      <c r="B101" s="278" t="s">
        <v>284</v>
      </c>
      <c r="C101" s="276"/>
      <c r="D101" s="276"/>
      <c r="E101" s="276"/>
      <c r="F101" s="276"/>
      <c r="G101" s="276"/>
      <c r="H101" s="276"/>
      <c r="I101" s="276"/>
      <c r="J101" s="276"/>
      <c r="K101" s="276"/>
      <c r="L101" s="276"/>
      <c r="M101" s="276"/>
      <c r="N101" s="276"/>
      <c r="O101" s="276"/>
      <c r="P101" s="276"/>
      <c r="Q101" s="276"/>
      <c r="R101" s="276"/>
      <c r="S101" s="276"/>
      <c r="T101" s="276"/>
    </row>
    <row r="102" spans="1:20" ht="12.75" customHeight="1">
      <c r="A102" s="77"/>
      <c r="B102" s="277" t="s">
        <v>285</v>
      </c>
      <c r="C102" s="276"/>
      <c r="D102" s="276"/>
      <c r="E102" s="276"/>
      <c r="F102" s="276"/>
      <c r="G102" s="276"/>
      <c r="H102" s="276"/>
      <c r="I102" s="276"/>
      <c r="J102" s="276"/>
      <c r="K102" s="276"/>
      <c r="L102" s="276"/>
      <c r="M102" s="276"/>
      <c r="N102" s="276"/>
      <c r="O102" s="276"/>
      <c r="P102" s="276"/>
      <c r="Q102" s="276"/>
      <c r="R102" s="276"/>
      <c r="S102" s="276"/>
      <c r="T102" s="276"/>
    </row>
    <row r="103" spans="1:20" ht="12.75" customHeight="1">
      <c r="A103" s="77"/>
      <c r="B103" s="278" t="s">
        <v>286</v>
      </c>
      <c r="C103" s="276"/>
      <c r="D103" s="276"/>
      <c r="E103" s="276"/>
      <c r="F103" s="276"/>
      <c r="G103" s="276"/>
      <c r="H103" s="276"/>
      <c r="I103" s="276"/>
      <c r="J103" s="276"/>
      <c r="K103" s="276"/>
      <c r="L103" s="276"/>
      <c r="M103" s="276"/>
      <c r="N103" s="276"/>
      <c r="O103" s="276"/>
      <c r="P103" s="276"/>
      <c r="Q103" s="276"/>
      <c r="R103" s="276"/>
      <c r="S103" s="276"/>
      <c r="T103" s="276"/>
    </row>
    <row r="104" spans="1:20" ht="12.75" customHeight="1">
      <c r="A104" s="77"/>
      <c r="B104" s="279" t="s">
        <v>290</v>
      </c>
      <c r="C104" s="276"/>
      <c r="D104" s="276"/>
      <c r="E104" s="276"/>
      <c r="F104" s="276"/>
      <c r="G104" s="276"/>
      <c r="H104" s="276"/>
      <c r="I104" s="276"/>
      <c r="J104" s="276"/>
      <c r="K104" s="276"/>
      <c r="L104" s="276"/>
      <c r="M104" s="276"/>
      <c r="N104" s="276"/>
      <c r="O104" s="276"/>
      <c r="P104" s="276"/>
      <c r="Q104" s="276"/>
      <c r="R104" s="276"/>
      <c r="S104" s="276"/>
      <c r="T104" s="276"/>
    </row>
    <row r="105" spans="1:20" ht="12.75" customHeight="1">
      <c r="A105" s="77"/>
      <c r="B105" s="281" t="s">
        <v>288</v>
      </c>
      <c r="C105" s="276"/>
      <c r="D105" s="276"/>
      <c r="E105" s="276"/>
      <c r="F105" s="276"/>
      <c r="G105" s="276"/>
      <c r="H105" s="276"/>
      <c r="I105" s="276"/>
      <c r="J105" s="276"/>
      <c r="K105" s="276"/>
      <c r="L105" s="276"/>
      <c r="M105" s="276"/>
      <c r="N105" s="276"/>
      <c r="O105" s="276"/>
      <c r="P105" s="276"/>
      <c r="Q105" s="276"/>
      <c r="R105" s="276"/>
      <c r="S105" s="276"/>
      <c r="T105" s="276"/>
    </row>
    <row r="106" spans="1:20" ht="12.75" customHeight="1">
      <c r="A106" s="77"/>
      <c r="B106" s="279" t="s">
        <v>289</v>
      </c>
      <c r="C106" s="276"/>
      <c r="D106" s="276"/>
      <c r="E106" s="276"/>
      <c r="F106" s="276"/>
      <c r="G106" s="276"/>
      <c r="H106" s="276"/>
      <c r="I106" s="276"/>
      <c r="J106" s="276"/>
      <c r="K106" s="276"/>
      <c r="L106" s="276"/>
      <c r="M106" s="276"/>
      <c r="N106" s="276"/>
      <c r="O106" s="276"/>
      <c r="P106" s="276"/>
      <c r="Q106" s="276"/>
      <c r="R106" s="276"/>
      <c r="S106" s="276"/>
      <c r="T106" s="276"/>
    </row>
    <row r="107" spans="1:20" ht="12.75" customHeight="1">
      <c r="A107" s="77"/>
      <c r="B107" s="282" t="s">
        <v>278</v>
      </c>
      <c r="C107" s="276"/>
      <c r="D107" s="276"/>
      <c r="E107" s="276"/>
      <c r="F107" s="276"/>
      <c r="G107" s="276"/>
      <c r="H107" s="276"/>
      <c r="I107" s="276"/>
      <c r="J107" s="276"/>
      <c r="K107" s="276"/>
      <c r="L107" s="276"/>
      <c r="M107" s="276"/>
      <c r="N107" s="276"/>
      <c r="O107" s="276"/>
      <c r="P107" s="276"/>
      <c r="Q107" s="276"/>
      <c r="R107" s="276"/>
      <c r="S107" s="276"/>
      <c r="T107" s="276"/>
    </row>
    <row r="108" spans="1:20">
      <c r="B108" s="283"/>
      <c r="C108" s="276"/>
      <c r="D108" s="276"/>
      <c r="E108" s="276"/>
      <c r="F108" s="276"/>
      <c r="G108" s="276"/>
      <c r="H108" s="276"/>
      <c r="I108" s="276"/>
      <c r="J108" s="276"/>
      <c r="K108" s="276"/>
      <c r="L108" s="276"/>
      <c r="M108" s="276"/>
      <c r="N108" s="276"/>
      <c r="O108" s="276"/>
      <c r="P108" s="276"/>
      <c r="Q108" s="276"/>
      <c r="R108" s="276"/>
      <c r="S108" s="276"/>
      <c r="T108" s="276"/>
    </row>
    <row r="109" spans="1:20">
      <c r="B109" s="368" t="s">
        <v>355</v>
      </c>
    </row>
    <row r="110" spans="1:20" ht="30.75" customHeight="1">
      <c r="B110" s="375" t="s">
        <v>356</v>
      </c>
      <c r="C110" s="376"/>
      <c r="D110" s="376"/>
      <c r="E110" s="376"/>
      <c r="F110" s="376"/>
      <c r="G110" s="376"/>
    </row>
  </sheetData>
  <sheetProtection algorithmName="SHA-512" hashValue="eBn/H6bHo6reVPg0/4ArjUOZlg7zAPjCH19Hv7Ur+aRHF3UxS5PmkIHdysdmI76ReehCxrCXyJ4cTdCRzJq9qw==" saltValue="xLKssjwfjhjBEf4g89pfFw==" spinCount="100000" sheet="1" formatRows="0" insertRows="0"/>
  <mergeCells count="11">
    <mergeCell ref="B11:B12"/>
    <mergeCell ref="B25:B26"/>
    <mergeCell ref="E25:E26"/>
    <mergeCell ref="F25:F26"/>
    <mergeCell ref="I25:I26"/>
    <mergeCell ref="H25:H26"/>
    <mergeCell ref="B110:G110"/>
    <mergeCell ref="J25:J26"/>
    <mergeCell ref="D25:D26"/>
    <mergeCell ref="C25:C26"/>
    <mergeCell ref="G25:G26"/>
  </mergeCells>
  <dataValidations count="17">
    <dataValidation operator="greaterThanOrEqual" allowBlank="1" showInputMessage="1" showErrorMessage="1" sqref="P27:P36 K27:K36" xr:uid="{00000000-0002-0000-0100-000000000000}"/>
    <dataValidation type="list" errorStyle="warning" allowBlank="1" showInputMessage="1" showErrorMessage="1" errorTitle="Invalid Category" error="An invalid category was entered. Enter &quot;No&quot; to select from the LEED Tiers._x000a_" sqref="B27:B36" xr:uid="{00000000-0002-0000-0100-000001000000}">
      <formula1>LEED_Renewable_Category</formula1>
    </dataValidation>
    <dataValidation type="list" allowBlank="1" showInputMessage="1" sqref="F27:F36" xr:uid="{00000000-0002-0000-0100-000002000000}">
      <formula1>IF($E27="Owned",NA_owned,Select_Contract_Length)</formula1>
    </dataValidation>
    <dataValidation type="list" errorStyle="warning" allowBlank="1" showInputMessage="1" showErrorMessage="1" sqref="D13" xr:uid="{00000000-0002-0000-0100-000003000000}">
      <formula1>"+Default_Elec_Units,kWh,MWh,kBtu,therm,Btu x 10^6,MJ,Ton Hours"</formula1>
    </dataValidation>
    <dataValidation type="list" errorStyle="warning" allowBlank="1" showInputMessage="1" showErrorMessage="1" sqref="D14" xr:uid="{00000000-0002-0000-0100-000004000000}">
      <formula1>"+Default_Fuel_Units,kWh,MWh,kBtu,therm,Btu x 10^6,MJ,Ton Hours"</formula1>
    </dataValidation>
    <dataValidation type="list" errorStyle="warning" allowBlank="1" showInputMessage="1" showErrorMessage="1" sqref="D15" xr:uid="{00000000-0002-0000-0100-000005000000}">
      <formula1>"+Default_Cooling_Units,kWh,MWh,kBtu,therm,Btu x 10^6,MJ,Ton Hours"</formula1>
    </dataValidation>
    <dataValidation type="list" errorStyle="warning" allowBlank="1" showInputMessage="1" showErrorMessage="1" sqref="D16" xr:uid="{00000000-0002-0000-0100-000006000000}">
      <formula1>"+Default_Heating_Units,kWh,MWh,kBtu,therm,Btu x 10^6,MJ,Ton Hours"</formula1>
    </dataValidation>
    <dataValidation type="list" errorStyle="warning" allowBlank="1" showInputMessage="1" showErrorMessage="1" sqref="D17:D20" xr:uid="{00000000-0002-0000-0100-000007000000}">
      <formula1>"+Default_Total_Units,kWh,MWh,kBtu,therm,Btu x 10^6,MJ,Ton Hours"</formula1>
    </dataValidation>
    <dataValidation type="list" errorStyle="warning" allowBlank="1" showInputMessage="1" showErrorMessage="1" sqref="O27:O36" xr:uid="{00000000-0002-0000-0100-000008000000}">
      <formula1>"+Default_Renewable_Units,kWh,MWh,kBtu,therm,Btu x 10^6,MJ,Ton Hours"</formula1>
    </dataValidation>
    <dataValidation type="list" allowBlank="1" showInputMessage="1" showErrorMessage="1" sqref="J27:J36" xr:uid="{00000000-0002-0000-0100-000009000000}">
      <formula1>"Yes,No"</formula1>
    </dataValidation>
    <dataValidation type="list" allowBlank="1" sqref="G27:G36" xr:uid="{00000000-0002-0000-0100-00000A000000}">
      <formula1>IF($A27="1",Tier1_Location_List,Tier2_3_Location_List)</formula1>
    </dataValidation>
    <dataValidation type="list" allowBlank="1" showInputMessage="1" sqref="C13" xr:uid="{00000000-0002-0000-0100-00000B000000}">
      <formula1>"+Default_Electricity_No_Model"</formula1>
    </dataValidation>
    <dataValidation type="list" allowBlank="1" showInputMessage="1" sqref="C14" xr:uid="{00000000-0002-0000-0100-00000C000000}">
      <formula1>"+Default_Fuel_No_Model"</formula1>
    </dataValidation>
    <dataValidation type="list" allowBlank="1" showInputMessage="1" sqref="H27:H36" xr:uid="{00000000-0002-0000-0100-00000D000000}">
      <formula1>IF($E27="Owned",NA_owned,Contract_Date_List)</formula1>
    </dataValidation>
    <dataValidation type="list" allowBlank="1" showInputMessage="1" showErrorMessage="1" sqref="D27:D36" xr:uid="{00000000-0002-0000-0100-00000E000000}">
      <formula1>"+Default_Gen_Type,Electricity,Thermal,Fossil Fuel"</formula1>
    </dataValidation>
    <dataValidation type="list" allowBlank="1" sqref="C27:C36" xr:uid="{00000000-0002-0000-0100-00000F000000}">
      <formula1>IF($A27=2,Tier2_Renewable_Type,IF($A27=3,Tier3_Renewable_Type,IF($A27=1,Tier1_Renewable_Type,Tier3_Renewable_Type)))</formula1>
    </dataValidation>
    <dataValidation type="list" allowBlank="1" showInputMessage="1" sqref="E27:E36" xr:uid="{00000000-0002-0000-0100-000010000000}">
      <formula1>IF($A27=1,Tier1_Procurement_Type,IF($A27=2,Tier2_Procurement_Type,IF($A27=3,Tier3_Procurement_Type,Tier3_Procurement_Type)))</formula1>
    </dataValidation>
  </dataValidations>
  <hyperlinks>
    <hyperlink ref="B107" r:id="rId1" display="(https://www.green-e.org/docs/energy/framework/Green-e%20Framework%20for%20Renewable%20Energy%20Certification.pdf)" xr:uid="{00000000-0004-0000-0100-000000000000}"/>
  </hyperlinks>
  <pageMargins left="0.75" right="0.75" top="1" bottom="1" header="0.5" footer="0.5"/>
  <pageSetup orientation="portrait" r:id="rId2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W129"/>
  <sheetViews>
    <sheetView showGridLines="0" workbookViewId="0">
      <pane xSplit="3" ySplit="4" topLeftCell="D5" activePane="bottomRight" state="frozen"/>
      <selection activeCell="I47" sqref="I47"/>
      <selection pane="topRight" activeCell="I47" sqref="I47"/>
      <selection pane="bottomLeft" activeCell="I47" sqref="I47"/>
      <selection pane="bottomRight" activeCell="K7" sqref="K7"/>
    </sheetView>
  </sheetViews>
  <sheetFormatPr defaultColWidth="9.140625" defaultRowHeight="15"/>
  <cols>
    <col min="2" max="2" width="30.7109375" bestFit="1" customWidth="1"/>
    <col min="3" max="3" width="27.7109375" style="76" customWidth="1"/>
    <col min="4" max="5" width="12" style="127" customWidth="1"/>
    <col min="6" max="6" width="1.42578125" customWidth="1"/>
    <col min="7" max="8" width="11.85546875" customWidth="1"/>
    <col min="9" max="9" width="1.7109375" customWidth="1"/>
    <col min="10" max="10" width="12.140625" customWidth="1"/>
    <col min="11" max="11" width="12.42578125" customWidth="1"/>
    <col min="12" max="12" width="1" customWidth="1"/>
    <col min="13" max="14" width="11.42578125" customWidth="1"/>
    <col min="15" max="15" width="2.140625" customWidth="1"/>
    <col min="16" max="18" width="11.42578125" customWidth="1"/>
    <col min="21" max="21" width="10.7109375" hidden="1" customWidth="1"/>
  </cols>
  <sheetData>
    <row r="1" spans="1:23" s="27" customFormat="1" ht="15" customHeight="1">
      <c r="A1" s="63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</row>
    <row r="2" spans="1:23" s="27" customFormat="1" ht="21" customHeight="1">
      <c r="A2" s="65"/>
      <c r="B2" s="66" t="s">
        <v>14</v>
      </c>
      <c r="C2" s="66"/>
      <c r="D2" s="66"/>
      <c r="E2" s="66"/>
      <c r="F2" s="66"/>
      <c r="G2" s="66"/>
      <c r="H2" s="66"/>
      <c r="I2" s="66"/>
      <c r="J2" s="67"/>
      <c r="K2" s="66"/>
      <c r="L2" s="66"/>
      <c r="M2" s="66"/>
      <c r="N2" s="66"/>
      <c r="O2" s="66"/>
      <c r="P2" s="66"/>
      <c r="Q2" s="66"/>
      <c r="R2" s="66"/>
      <c r="S2" s="28"/>
      <c r="T2" s="28"/>
      <c r="U2" s="28"/>
      <c r="V2" s="28"/>
      <c r="W2" s="28"/>
    </row>
    <row r="3" spans="1:23" s="27" customFormat="1" ht="15" customHeight="1">
      <c r="A3" s="63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</row>
    <row r="4" spans="1:23" s="27" customFormat="1" ht="15" customHeight="1">
      <c r="A4" s="63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</row>
    <row r="5" spans="1:23">
      <c r="A5" s="136"/>
      <c r="B5" s="134"/>
      <c r="C5" s="135"/>
      <c r="D5" s="137"/>
      <c r="E5" s="137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</row>
    <row r="6" spans="1:23">
      <c r="A6" s="136"/>
      <c r="B6" s="134"/>
      <c r="C6" s="135"/>
      <c r="D6" s="137"/>
      <c r="E6" s="137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</row>
    <row r="7" spans="1:23" ht="24.75" customHeight="1">
      <c r="A7" s="136"/>
      <c r="B7" s="199" t="s">
        <v>237</v>
      </c>
      <c r="C7" s="196"/>
      <c r="D7" s="197"/>
      <c r="E7" s="197"/>
      <c r="F7" s="198"/>
      <c r="G7" s="198"/>
      <c r="H7" s="198"/>
      <c r="I7" s="198"/>
      <c r="J7" s="198"/>
      <c r="K7" s="312" t="s">
        <v>117</v>
      </c>
      <c r="L7" s="136"/>
      <c r="M7" s="136"/>
      <c r="N7" s="136"/>
      <c r="O7" s="136"/>
      <c r="P7" s="136"/>
      <c r="Q7" s="136"/>
      <c r="R7" s="136"/>
    </row>
    <row r="8" spans="1:23">
      <c r="A8" s="136"/>
      <c r="B8" s="134"/>
      <c r="C8" s="135"/>
      <c r="D8" s="137"/>
      <c r="E8" s="137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</row>
    <row r="9" spans="1:23">
      <c r="A9" s="136"/>
      <c r="B9" s="134" t="s">
        <v>235</v>
      </c>
      <c r="C9" s="135"/>
      <c r="D9" s="137"/>
      <c r="E9" s="137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</row>
    <row r="10" spans="1:23">
      <c r="A10" s="136"/>
      <c r="B10" s="136" t="s">
        <v>293</v>
      </c>
      <c r="C10" s="135"/>
      <c r="D10" s="137"/>
      <c r="E10" s="137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</row>
    <row r="11" spans="1:23">
      <c r="A11" s="136"/>
      <c r="B11" s="136"/>
      <c r="C11" s="135"/>
      <c r="D11" s="137"/>
      <c r="E11" s="137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</row>
    <row r="12" spans="1:23" ht="19.5" customHeight="1">
      <c r="A12" s="136"/>
      <c r="B12" s="386" t="s">
        <v>302</v>
      </c>
      <c r="C12" s="387"/>
      <c r="D12" s="391" t="s">
        <v>236</v>
      </c>
      <c r="E12" s="387"/>
      <c r="F12" s="231"/>
      <c r="G12" s="209" t="s">
        <v>238</v>
      </c>
      <c r="H12" s="202"/>
      <c r="I12" s="231"/>
      <c r="J12" s="202" t="s">
        <v>239</v>
      </c>
      <c r="K12" s="202"/>
      <c r="L12" s="202"/>
      <c r="M12" s="202"/>
      <c r="N12" s="203"/>
      <c r="O12" s="136"/>
      <c r="P12" s="136"/>
      <c r="Q12" s="136"/>
      <c r="R12" s="136"/>
    </row>
    <row r="13" spans="1:23" ht="30">
      <c r="A13" s="136"/>
      <c r="B13" s="388"/>
      <c r="C13" s="389"/>
      <c r="D13" s="390" t="str">
        <f>IF(IP_SI_Units="IP Units","(square feet)","(square meters)")</f>
        <v>(square feet)</v>
      </c>
      <c r="E13" s="389"/>
      <c r="F13" s="232"/>
      <c r="G13" s="200" t="str">
        <f>CONCATENATE("Electricity ", IF(IP_SI_Units="IP Units","(kWh/ft2)","(kWh/m2)"))</f>
        <v>Electricity (kWh/ft2)</v>
      </c>
      <c r="H13" s="201" t="str">
        <f>CONCATENATE("Natural Gas ", IF(IP_SI_Units="IP Units","(kBtu/ft2)","(kWh/m2)"))</f>
        <v>Natural Gas (kBtu/ft2)</v>
      </c>
      <c r="I13" s="232"/>
      <c r="J13" s="214" t="str">
        <f>CONCATENATE("Electricity ", IF(IP_SI_Units="IP Units","(kWh)","(kWh)"))</f>
        <v>Electricity (kWh)</v>
      </c>
      <c r="K13" s="215" t="str">
        <f>CONCATENATE("Natural Gas ", IF(IP_SI_Units="IP Units","(therms)","(kWh)"))</f>
        <v>Natural Gas (therms)</v>
      </c>
      <c r="L13" s="204"/>
      <c r="M13" s="205" t="str">
        <f>CONCATENATE("Total ", IF(IP_SI_Units="IP Units","(Btu x 10^6)","(MWh)"))</f>
        <v>Total (Btu x 10^6)</v>
      </c>
      <c r="N13" s="206"/>
      <c r="O13" s="136"/>
      <c r="P13" s="136"/>
      <c r="Q13" s="136"/>
      <c r="R13" s="136"/>
    </row>
    <row r="14" spans="1:23">
      <c r="A14" s="136"/>
      <c r="B14" s="402"/>
      <c r="C14" s="403"/>
      <c r="D14" s="396"/>
      <c r="E14" s="397"/>
      <c r="F14" s="233"/>
      <c r="G14" s="210" t="str">
        <f>IFERROR(ROUND(IF(IP_SI_Units="IP Units",0.0929,1)*((VLOOKUP($B14,Building_Type_Table,11,FALSE)+IF($K$7="Yes",0.75*VLOOKUP($B14,Building_Type_Table,12,FALSE),0))),2),"")</f>
        <v/>
      </c>
      <c r="H14" s="211" t="str">
        <f>IFERROR(ROUND(IF(IP_SI_Units="IP Units",0.0929*3.412,1)*IF(AND($D14&gt;0,$K$7="Yes"),0,VLOOKUP($B14,Building_Type_Table,12,FALSE)),2),"")</f>
        <v/>
      </c>
      <c r="I14" s="233"/>
      <c r="J14" s="216" t="str">
        <f>IFERROR($D14*G14,"")</f>
        <v/>
      </c>
      <c r="K14" s="218" t="str">
        <f>IFERROR(IF(IP_SI_Units="IP Units",1/100,1)*H14*$D14,"")</f>
        <v/>
      </c>
      <c r="L14" s="207"/>
      <c r="M14" s="410" t="str">
        <f>IFERROR(ROUND(IF(IP_SI_Units="IP Units",3.412/1000,1/1000)*J14+IF(IP_SI_Units="IP Units",1/10,1/1000)*K14,1),"")</f>
        <v/>
      </c>
      <c r="N14" s="411"/>
      <c r="O14" s="136"/>
      <c r="P14" s="136"/>
      <c r="Q14" s="136"/>
      <c r="R14" s="136"/>
    </row>
    <row r="15" spans="1:23">
      <c r="A15" s="136"/>
      <c r="B15" s="404"/>
      <c r="C15" s="405"/>
      <c r="D15" s="398"/>
      <c r="E15" s="399"/>
      <c r="F15" s="234"/>
      <c r="G15" s="213" t="str">
        <f>IFERROR(ROUND(IF(IP_SI_Units="IP Units",0.0929,1)*((VLOOKUP($B15,Building_Type_Table,11,FALSE)+IF($K$7="Yes",0.75*VLOOKUP($B15,Building_Type_Table,12,FALSE),0))),2),"")</f>
        <v/>
      </c>
      <c r="H15" s="212" t="str">
        <f>IFERROR(ROUND(IF(IP_SI_Units="IP Units",0.0929*3.412,1)*IF(AND($D15&gt;0,$K$7="Yes"),0,VLOOKUP($B15,Building_Type_Table,12,FALSE)),2),"")</f>
        <v/>
      </c>
      <c r="I15" s="234"/>
      <c r="J15" s="217" t="str">
        <f t="shared" ref="J15:J20" si="0">IFERROR($D15*G15,"")</f>
        <v/>
      </c>
      <c r="K15" s="219" t="str">
        <f>IFERROR(IF(IP_SI_Units="IP Units",1/100,1)*H15*$D15,"")</f>
        <v/>
      </c>
      <c r="L15" s="208"/>
      <c r="M15" s="412" t="str">
        <f>IFERROR(ROUND(IF(IP_SI_Units="IP Units",3.412/1000,1/1000)*J15+IF(IP_SI_Units="IP Units",1/10,1/1000)*K15,1),"")</f>
        <v/>
      </c>
      <c r="N15" s="413"/>
      <c r="O15" s="136"/>
      <c r="P15" s="136"/>
      <c r="Q15" s="136"/>
      <c r="R15" s="136"/>
    </row>
    <row r="16" spans="1:23">
      <c r="A16" s="136"/>
      <c r="B16" s="404"/>
      <c r="C16" s="405"/>
      <c r="D16" s="398"/>
      <c r="E16" s="399"/>
      <c r="F16" s="234"/>
      <c r="G16" s="213" t="str">
        <f>IFERROR(ROUND(IF(IP_SI_Units="IP Units",0.0929,1)*((VLOOKUP($B16,Building_Type_Table,11,FALSE)+IF($K$7="Yes",0.75*VLOOKUP($B16,Building_Type_Table,12,FALSE),0))),2),"")</f>
        <v/>
      </c>
      <c r="H16" s="212" t="str">
        <f>IFERROR(ROUND(IF(IP_SI_Units="IP Units",0.0929*3.412,1)*IF(AND($D16&gt;0,$K$7="Yes"),0,VLOOKUP($B16,Building_Type_Table,12,FALSE)),2),"")</f>
        <v/>
      </c>
      <c r="I16" s="234"/>
      <c r="J16" s="217" t="str">
        <f t="shared" si="0"/>
        <v/>
      </c>
      <c r="K16" s="219" t="str">
        <f>IFERROR(IF(IP_SI_Units="IP Units",1/100,1)*H16*$D16,"")</f>
        <v/>
      </c>
      <c r="L16" s="208"/>
      <c r="M16" s="412" t="str">
        <f>IFERROR(ROUND(IF(IP_SI_Units="IP Units",3.412/1000,1/1000)*J16+IF(IP_SI_Units="IP Units",1/10,1/1000)*K16,1),"")</f>
        <v/>
      </c>
      <c r="N16" s="413"/>
      <c r="O16" s="136"/>
      <c r="P16" s="136"/>
      <c r="Q16" s="136"/>
      <c r="R16" s="136"/>
    </row>
    <row r="17" spans="1:21">
      <c r="A17" s="136"/>
      <c r="B17" s="404"/>
      <c r="C17" s="405"/>
      <c r="D17" s="398"/>
      <c r="E17" s="399"/>
      <c r="F17" s="234"/>
      <c r="G17" s="213" t="str">
        <f>IFERROR(ROUND(IF(IP_SI_Units="IP Units",0.0929,1)*((VLOOKUP($B17,Building_Type_Table,11,FALSE)+IF($K$7="Yes",0.75*VLOOKUP($B17,Building_Type_Table,12,FALSE),0))),2),"")</f>
        <v/>
      </c>
      <c r="H17" s="212" t="str">
        <f>IFERROR(ROUND(IF(IP_SI_Units="IP Units",0.0929*3.412,1)*IF(AND($D17&gt;0,$K$7="Yes"),0,VLOOKUP($B17,Building_Type_Table,12,FALSE)),2),"")</f>
        <v/>
      </c>
      <c r="I17" s="234"/>
      <c r="J17" s="217" t="str">
        <f t="shared" si="0"/>
        <v/>
      </c>
      <c r="K17" s="219" t="str">
        <f>IFERROR(IF(IP_SI_Units="IP Units",1/100,1)*H17*$D17,"")</f>
        <v/>
      </c>
      <c r="L17" s="208"/>
      <c r="M17" s="412" t="str">
        <f>IFERROR(ROUND(IF(IP_SI_Units="IP Units",3.412/1000,1/1000)*J17+IF(IP_SI_Units="IP Units",1/10,1/1000)*K17,1),"")</f>
        <v/>
      </c>
      <c r="N17" s="413"/>
      <c r="O17" s="136"/>
      <c r="P17" s="136"/>
      <c r="Q17" s="136"/>
      <c r="R17" s="136"/>
    </row>
    <row r="18" spans="1:21">
      <c r="A18" s="136"/>
      <c r="B18" s="404"/>
      <c r="C18" s="405"/>
      <c r="D18" s="398"/>
      <c r="E18" s="399"/>
      <c r="F18" s="234"/>
      <c r="G18" s="213" t="str">
        <f>IFERROR(ROUND(IF(IP_SI_Units="IP Units",0.0929,1)*((VLOOKUP($B18,Building_Type_Table,11,FALSE)+IF($K$7="Yes",0.75*VLOOKUP($B18,Building_Type_Table,12,FALSE),0))),2),"")</f>
        <v/>
      </c>
      <c r="H18" s="212" t="str">
        <f>IFERROR(ROUND(IF(IP_SI_Units="IP Units",0.0929*3.412,1)*IF(AND($D18&gt;0,$K$7="Yes"),0,VLOOKUP($B18,Building_Type_Table,12,FALSE)),2),"")</f>
        <v/>
      </c>
      <c r="I18" s="234"/>
      <c r="J18" s="217" t="str">
        <f t="shared" si="0"/>
        <v/>
      </c>
      <c r="K18" s="219" t="str">
        <f>IFERROR(IF(IP_SI_Units="IP Units",1/100,1)*H18*$D18,"")</f>
        <v/>
      </c>
      <c r="L18" s="208"/>
      <c r="M18" s="412" t="str">
        <f>IFERROR(ROUND(IF(IP_SI_Units="IP Units",3.412/1000,1/1000)*J18+IF(IP_SI_Units="IP Units",1/10,1/1000)*K18,1),"")</f>
        <v/>
      </c>
      <c r="N18" s="413"/>
      <c r="O18" s="136"/>
      <c r="P18" s="136"/>
      <c r="Q18" s="136"/>
      <c r="R18" s="136"/>
    </row>
    <row r="19" spans="1:21">
      <c r="A19" s="136"/>
      <c r="B19" s="404"/>
      <c r="C19" s="405"/>
      <c r="D19" s="398"/>
      <c r="E19" s="399"/>
      <c r="F19" s="234"/>
      <c r="G19" s="213" t="str">
        <f>IFERROR(ROUND(IF(IP_SI_Units="IP Units",0.0929,1)*((VLOOKUP($B19,Building_Type_Table,11,FALSE)+IF($K$7="Yes",0.75*VLOOKUP($B19,Building_Type_Table,12,FALSE),0))),2),"")</f>
        <v/>
      </c>
      <c r="H19" s="212" t="str">
        <f>IFERROR(ROUND(IF(IP_SI_Units="IP Units",0.0929*3.412,1)*IF(AND($D19&gt;0,$K$7="Yes"),0,VLOOKUP($B19,Building_Type_Table,12,FALSE)),2),"")</f>
        <v/>
      </c>
      <c r="I19" s="234"/>
      <c r="J19" s="217" t="str">
        <f t="shared" si="0"/>
        <v/>
      </c>
      <c r="K19" s="219" t="str">
        <f>IFERROR(IF(IP_SI_Units="IP Units",1/100,1)*H19*$D19,"")</f>
        <v/>
      </c>
      <c r="L19" s="208"/>
      <c r="M19" s="412" t="str">
        <f>IFERROR(ROUND(IF(IP_SI_Units="IP Units",3.412/1000,1/1000)*J19+IF(IP_SI_Units="IP Units",1/10,1/1000)*K19,1),"")</f>
        <v/>
      </c>
      <c r="N19" s="413"/>
      <c r="O19" s="136"/>
      <c r="P19" s="136"/>
      <c r="Q19" s="136"/>
      <c r="R19" s="136"/>
    </row>
    <row r="20" spans="1:21">
      <c r="A20" s="136"/>
      <c r="B20" s="394"/>
      <c r="C20" s="395"/>
      <c r="D20" s="400"/>
      <c r="E20" s="401"/>
      <c r="F20" s="235"/>
      <c r="G20" s="226" t="str">
        <f>IFERROR(ROUND(IF(IP_SI_Units="IP Units",0.0929,1)*((VLOOKUP($B20,Building_Type_Table,11,FALSE)+IF($K$7="Yes",0.75*VLOOKUP($B20,Building_Type_Table,12,FALSE),0))),2),"")</f>
        <v/>
      </c>
      <c r="H20" s="227" t="str">
        <f>IFERROR(ROUND(IF(IP_SI_Units="IP Units",0.0929*3.412,1)*IF(AND($D20&gt;0,$K$7="Yes"),0,VLOOKUP($B20,Building_Type_Table,12,FALSE)),2),"")</f>
        <v/>
      </c>
      <c r="I20" s="235"/>
      <c r="J20" s="223" t="str">
        <f t="shared" si="0"/>
        <v/>
      </c>
      <c r="K20" s="224" t="str">
        <f>IFERROR(IF(IP_SI_Units="IP Units",1/100,1)*H20*$D20,"")</f>
        <v/>
      </c>
      <c r="L20" s="225"/>
      <c r="M20" s="406" t="str">
        <f>IFERROR(ROUND(IF(IP_SI_Units="IP Units",3.412/1000,1/1000)*J20+IF(IP_SI_Units="IP Units",1/10,1/1000)*K20,1),"")</f>
        <v/>
      </c>
      <c r="N20" s="407"/>
      <c r="O20" s="136"/>
      <c r="P20" s="136"/>
      <c r="Q20" s="136"/>
      <c r="R20" s="136"/>
    </row>
    <row r="21" spans="1:21" ht="27" customHeight="1">
      <c r="A21" s="136"/>
      <c r="B21" s="237" t="s">
        <v>264</v>
      </c>
      <c r="C21" s="236"/>
      <c r="D21" s="392" t="str">
        <f>IFERROR(IF(SUM(D14:D20)&gt;0,SUM(D14:D20),""),"")</f>
        <v/>
      </c>
      <c r="E21" s="393"/>
      <c r="F21" s="236"/>
      <c r="G21" s="236"/>
      <c r="H21" s="236"/>
      <c r="I21" s="236"/>
      <c r="J21" s="228">
        <f>IFERROR(IF($D21&gt;0,SUM(J14:J20),""),"")</f>
        <v>0</v>
      </c>
      <c r="K21" s="229">
        <f>IFERROR(IF($D21&gt;0,SUM(K14:K20),""),"")</f>
        <v>0</v>
      </c>
      <c r="L21" s="230"/>
      <c r="M21" s="408">
        <f t="shared" ref="M21:N21" si="1">IFERROR(IF($D21&gt;0,SUM(M14:M20),""),"")</f>
        <v>0</v>
      </c>
      <c r="N21" s="409">
        <f t="shared" si="1"/>
        <v>0</v>
      </c>
      <c r="O21" s="136"/>
      <c r="P21" s="136"/>
      <c r="Q21" s="136"/>
      <c r="R21" s="136"/>
    </row>
    <row r="22" spans="1:21">
      <c r="A22" s="136"/>
      <c r="B22" s="134"/>
      <c r="C22" s="135"/>
      <c r="D22" s="137"/>
      <c r="E22" s="137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</row>
    <row r="23" spans="1:21">
      <c r="A23" s="136"/>
      <c r="B23" s="134" t="s">
        <v>233</v>
      </c>
      <c r="C23" s="135"/>
      <c r="D23" s="137"/>
      <c r="E23" s="137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</row>
    <row r="24" spans="1:21">
      <c r="A24" s="136"/>
      <c r="B24" s="169" t="s">
        <v>241</v>
      </c>
      <c r="C24" s="135"/>
      <c r="D24" s="137"/>
      <c r="E24" s="137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</row>
    <row r="25" spans="1:21">
      <c r="A25" s="136"/>
      <c r="B25" s="195" t="s">
        <v>234</v>
      </c>
      <c r="C25" s="135"/>
      <c r="D25" s="137"/>
      <c r="E25" s="137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</row>
    <row r="26" spans="1:21" ht="9" customHeight="1">
      <c r="A26" s="136"/>
      <c r="B26" s="195"/>
      <c r="C26" s="135"/>
      <c r="D26" s="137"/>
      <c r="E26" s="137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</row>
    <row r="27" spans="1:21">
      <c r="A27" s="136"/>
      <c r="B27" s="142"/>
      <c r="C27" s="143"/>
      <c r="D27" s="180" t="s">
        <v>151</v>
      </c>
      <c r="E27" s="181"/>
      <c r="F27" s="182"/>
      <c r="G27" s="182"/>
      <c r="H27" s="182"/>
      <c r="I27" s="133"/>
      <c r="J27" s="133"/>
      <c r="K27" s="133"/>
      <c r="L27" s="133"/>
      <c r="M27" s="133"/>
      <c r="N27" s="133"/>
      <c r="O27" s="175"/>
      <c r="P27" s="187" t="s">
        <v>152</v>
      </c>
      <c r="Q27" s="188"/>
      <c r="R27" s="134"/>
    </row>
    <row r="28" spans="1:21">
      <c r="A28" s="136"/>
      <c r="B28" s="144"/>
      <c r="C28" s="145"/>
      <c r="D28" s="183" t="s">
        <v>153</v>
      </c>
      <c r="E28" s="183"/>
      <c r="F28" s="184"/>
      <c r="G28" s="184"/>
      <c r="H28" s="184"/>
      <c r="I28" s="147"/>
      <c r="J28" s="183" t="s">
        <v>154</v>
      </c>
      <c r="K28" s="183"/>
      <c r="L28" s="184"/>
      <c r="M28" s="184"/>
      <c r="N28" s="184"/>
      <c r="O28" s="148"/>
      <c r="P28" s="146" t="s">
        <v>153</v>
      </c>
      <c r="Q28" s="132" t="s">
        <v>154</v>
      </c>
      <c r="R28" s="138"/>
    </row>
    <row r="29" spans="1:21" ht="45">
      <c r="A29" s="136"/>
      <c r="B29" s="176"/>
      <c r="C29" s="177"/>
      <c r="D29" s="185" t="s">
        <v>155</v>
      </c>
      <c r="E29" s="185" t="s">
        <v>156</v>
      </c>
      <c r="F29" s="186"/>
      <c r="G29" s="186" t="s">
        <v>157</v>
      </c>
      <c r="H29" s="186" t="s">
        <v>158</v>
      </c>
      <c r="I29" s="178"/>
      <c r="J29" s="185" t="s">
        <v>159</v>
      </c>
      <c r="K29" s="185" t="s">
        <v>160</v>
      </c>
      <c r="L29" s="186"/>
      <c r="M29" s="186" t="s">
        <v>161</v>
      </c>
      <c r="N29" s="186" t="s">
        <v>162</v>
      </c>
      <c r="O29" s="179"/>
      <c r="P29" s="221" t="s">
        <v>163</v>
      </c>
      <c r="Q29" s="222" t="s">
        <v>297</v>
      </c>
      <c r="R29" s="135"/>
      <c r="U29" s="139" t="s">
        <v>164</v>
      </c>
    </row>
    <row r="30" spans="1:21">
      <c r="A30" s="136"/>
      <c r="B30" s="170" t="s">
        <v>165</v>
      </c>
      <c r="C30" s="150" t="s">
        <v>166</v>
      </c>
      <c r="D30" s="152">
        <v>209.9</v>
      </c>
      <c r="E30" s="152">
        <v>88.3</v>
      </c>
      <c r="F30" s="151"/>
      <c r="G30" s="153">
        <f>(D30-LookupData!$AM$4*E30)/(LookupData!$AM$2-LookupData!$AM$4)</f>
        <v>66.962857142857146</v>
      </c>
      <c r="H30" s="153">
        <f>E30-G30</f>
        <v>21.337142857142851</v>
      </c>
      <c r="I30" s="151"/>
      <c r="J30" s="152">
        <f>D30*LookupData!$AN$10</f>
        <v>662.17608337261743</v>
      </c>
      <c r="K30" s="152">
        <f>E30*LookupData!$AN$10</f>
        <v>278.56192549691337</v>
      </c>
      <c r="L30" s="154"/>
      <c r="M30" s="152">
        <f>G30*LookupData!$AN$10</f>
        <v>211.24917805763337</v>
      </c>
      <c r="N30" s="152">
        <f>H30*LookupData!$AN$10</f>
        <v>67.312747439280002</v>
      </c>
      <c r="O30" s="154"/>
      <c r="P30" s="152">
        <f>(M30+N30*0.75)*LookupData!AN$7</f>
        <v>24.315859989951434</v>
      </c>
      <c r="Q30" s="171">
        <f>(M30+N30*0.75)</f>
        <v>261.73373863709338</v>
      </c>
      <c r="R30" s="140"/>
      <c r="U30" s="141">
        <f>ROUNDUP(M30/K30,2)</f>
        <v>0.76</v>
      </c>
    </row>
    <row r="31" spans="1:21">
      <c r="A31" s="136"/>
      <c r="B31" s="172"/>
      <c r="C31" s="164" t="s">
        <v>167</v>
      </c>
      <c r="D31" s="166">
        <v>116.4</v>
      </c>
      <c r="E31" s="166">
        <v>52.9</v>
      </c>
      <c r="F31" s="165"/>
      <c r="G31" s="173">
        <f>(D31-LookupData!$AM$4*E31)/(LookupData!$AM$2-LookupData!$AM$4)</f>
        <v>34.774285714285718</v>
      </c>
      <c r="H31" s="173">
        <f t="shared" ref="H31:H37" si="2">E31-G31</f>
        <v>18.125714285714281</v>
      </c>
      <c r="I31" s="165"/>
      <c r="J31" s="166">
        <f>D31*LookupData!$AN$10</f>
        <v>367.20960507180882</v>
      </c>
      <c r="K31" s="166">
        <f>E31*LookupData!$AN$10</f>
        <v>166.88477756270348</v>
      </c>
      <c r="L31" s="167"/>
      <c r="M31" s="166">
        <f>G31*LookupData!$AN$10</f>
        <v>109.70319350341153</v>
      </c>
      <c r="N31" s="166">
        <f>H31*LookupData!$AN$10</f>
        <v>57.181584059291964</v>
      </c>
      <c r="O31" s="167"/>
      <c r="P31" s="166">
        <f>(M31+N31*0.75)*LookupData!AN$7</f>
        <v>14.176017417518004</v>
      </c>
      <c r="Q31" s="174">
        <f t="shared" ref="Q31:Q85" si="3">(M31+N31*0.75)</f>
        <v>152.58938154788049</v>
      </c>
      <c r="R31" s="140"/>
      <c r="U31" s="141">
        <f t="shared" ref="U31:U76" si="4">ROUNDUP(M31/K31,2)</f>
        <v>0.66</v>
      </c>
    </row>
    <row r="32" spans="1:21">
      <c r="A32" s="136"/>
      <c r="B32" s="149" t="s">
        <v>168</v>
      </c>
      <c r="C32" s="150" t="s">
        <v>169</v>
      </c>
      <c r="D32" s="152">
        <v>110.4</v>
      </c>
      <c r="E32" s="152">
        <v>52.4</v>
      </c>
      <c r="F32" s="151"/>
      <c r="G32" s="153">
        <f>(D32-LookupData!$AM$4*E32)/(LookupData!$AM$2-LookupData!$AM$4)</f>
        <v>31.645714285714291</v>
      </c>
      <c r="H32" s="153">
        <f t="shared" si="2"/>
        <v>20.754285714285707</v>
      </c>
      <c r="I32" s="151"/>
      <c r="J32" s="152">
        <f>D32*LookupData!$AN$10</f>
        <v>348.28127491346817</v>
      </c>
      <c r="K32" s="152">
        <f>E32*LookupData!$AN$10</f>
        <v>165.30741671617508</v>
      </c>
      <c r="L32" s="154"/>
      <c r="M32" s="152">
        <f>G32*LookupData!$AN$10</f>
        <v>99.833421349419609</v>
      </c>
      <c r="N32" s="152">
        <f>H32*LookupData!$AN$10</f>
        <v>65.473995366755489</v>
      </c>
      <c r="O32" s="154"/>
      <c r="P32" s="152">
        <f>(M32+N32*0.75)*LookupData!AN$7</f>
        <v>13.836878244850109</v>
      </c>
      <c r="Q32" s="155">
        <f t="shared" si="3"/>
        <v>148.93891787448621</v>
      </c>
      <c r="R32" s="140"/>
      <c r="U32" s="141">
        <f t="shared" si="4"/>
        <v>0.61</v>
      </c>
    </row>
    <row r="33" spans="1:21">
      <c r="A33" s="136"/>
      <c r="B33" s="156"/>
      <c r="C33" s="157" t="s">
        <v>246</v>
      </c>
      <c r="D33" s="159">
        <v>180.6</v>
      </c>
      <c r="E33" s="159">
        <v>84.3</v>
      </c>
      <c r="F33" s="158"/>
      <c r="G33" s="160">
        <f>(D33-LookupData!$AM$4*E33)/(LookupData!$AM$2-LookupData!$AM$4)</f>
        <v>52.620000000000005</v>
      </c>
      <c r="H33" s="160">
        <f t="shared" si="2"/>
        <v>31.679999999999993</v>
      </c>
      <c r="I33" s="158"/>
      <c r="J33" s="159">
        <f>D33*LookupData!$AN$10</f>
        <v>569.74273776605389</v>
      </c>
      <c r="K33" s="159">
        <f>E33*LookupData!$AN$10</f>
        <v>265.94303872468629</v>
      </c>
      <c r="L33" s="161"/>
      <c r="M33" s="159">
        <f>G33*LookupData!$AN$10</f>
        <v>166.00145548864759</v>
      </c>
      <c r="N33" s="159">
        <f>H33*LookupData!$AN$10</f>
        <v>99.941583236038667</v>
      </c>
      <c r="O33" s="161"/>
      <c r="P33" s="159">
        <f>(M33+N33*0.75)*LookupData!AN$7</f>
        <v>22.385697538100821</v>
      </c>
      <c r="Q33" s="162">
        <f t="shared" si="3"/>
        <v>240.95764291567659</v>
      </c>
      <c r="R33" s="140"/>
      <c r="U33" s="141">
        <f t="shared" si="4"/>
        <v>0.63</v>
      </c>
    </row>
    <row r="34" spans="1:21">
      <c r="A34" s="136"/>
      <c r="B34" s="156"/>
      <c r="C34" s="157" t="s">
        <v>170</v>
      </c>
      <c r="D34" s="159">
        <v>104.4</v>
      </c>
      <c r="E34" s="159">
        <v>48.5</v>
      </c>
      <c r="F34" s="158"/>
      <c r="G34" s="160">
        <f>(D34-LookupData!$AM$4*E34)/(LookupData!$AM$2-LookupData!$AM$4)</f>
        <v>30.55714285714286</v>
      </c>
      <c r="H34" s="160">
        <f t="shared" si="2"/>
        <v>17.94285714285714</v>
      </c>
      <c r="I34" s="158"/>
      <c r="J34" s="159">
        <f>D34*LookupData!$AN$10</f>
        <v>329.35294475512751</v>
      </c>
      <c r="K34" s="159">
        <f>E34*LookupData!$AN$10</f>
        <v>153.00400211325368</v>
      </c>
      <c r="L34" s="161"/>
      <c r="M34" s="159">
        <f>G34*LookupData!$AN$10</f>
        <v>96.399281449263512</v>
      </c>
      <c r="N34" s="159">
        <f>H34*LookupData!$AN$10</f>
        <v>56.604720663990157</v>
      </c>
      <c r="O34" s="161"/>
      <c r="P34" s="159">
        <f>(M34+N34*0.75)*LookupData!AN$7</f>
        <v>12.899849271478816</v>
      </c>
      <c r="Q34" s="162">
        <f t="shared" si="3"/>
        <v>138.85282194725613</v>
      </c>
      <c r="R34" s="140"/>
      <c r="U34" s="141">
        <f t="shared" si="4"/>
        <v>0.64</v>
      </c>
    </row>
    <row r="35" spans="1:21">
      <c r="A35" s="136"/>
      <c r="B35" s="156"/>
      <c r="C35" s="157" t="s">
        <v>247</v>
      </c>
      <c r="D35" s="159">
        <v>131.5</v>
      </c>
      <c r="E35" s="159">
        <v>64.8</v>
      </c>
      <c r="F35" s="158"/>
      <c r="G35" s="160">
        <f>(D35-LookupData!$AM$4*E35)/(LookupData!$AM$2-LookupData!$AM$4)</f>
        <v>36.262857142857143</v>
      </c>
      <c r="H35" s="160">
        <f t="shared" si="2"/>
        <v>28.537142857142854</v>
      </c>
      <c r="I35" s="158"/>
      <c r="J35" s="159">
        <f>D35*LookupData!$AN$10</f>
        <v>414.84590263696612</v>
      </c>
      <c r="K35" s="159">
        <f>E35*LookupData!$AN$10</f>
        <v>204.42596571007911</v>
      </c>
      <c r="L35" s="161"/>
      <c r="M35" s="159">
        <f>G35*LookupData!$AN$10</f>
        <v>114.39922208079032</v>
      </c>
      <c r="N35" s="159">
        <f>H35*LookupData!$AN$10</f>
        <v>90.026743629288802</v>
      </c>
      <c r="O35" s="161"/>
      <c r="P35" s="159">
        <f>(M35+N35*0.75)*LookupData!AN$7</f>
        <v>16.900854128286721</v>
      </c>
      <c r="Q35" s="162">
        <f t="shared" si="3"/>
        <v>181.91927980275693</v>
      </c>
      <c r="R35" s="140"/>
      <c r="U35" s="141">
        <f t="shared" si="4"/>
        <v>0.56000000000000005</v>
      </c>
    </row>
    <row r="36" spans="1:21">
      <c r="A36" s="136"/>
      <c r="B36" s="156"/>
      <c r="C36" s="157" t="s">
        <v>171</v>
      </c>
      <c r="D36" s="159">
        <v>110.4</v>
      </c>
      <c r="E36" s="159">
        <v>52.4</v>
      </c>
      <c r="F36" s="158"/>
      <c r="G36" s="160">
        <f>(D36-LookupData!$AM$4*E36)/(LookupData!$AM$2-LookupData!$AM$4)</f>
        <v>31.645714285714291</v>
      </c>
      <c r="H36" s="160">
        <f t="shared" si="2"/>
        <v>20.754285714285707</v>
      </c>
      <c r="I36" s="158"/>
      <c r="J36" s="159">
        <f>D36*LookupData!$AN$10</f>
        <v>348.28127491346817</v>
      </c>
      <c r="K36" s="159">
        <f>E36*LookupData!$AN$10</f>
        <v>165.30741671617508</v>
      </c>
      <c r="L36" s="161"/>
      <c r="M36" s="159">
        <f>G36*LookupData!$AN$10</f>
        <v>99.833421349419609</v>
      </c>
      <c r="N36" s="159">
        <f>H36*LookupData!$AN$10</f>
        <v>65.473995366755489</v>
      </c>
      <c r="O36" s="161"/>
      <c r="P36" s="159">
        <f>(M36+N36*0.75)*LookupData!AN$7</f>
        <v>13.836878244850109</v>
      </c>
      <c r="Q36" s="162">
        <f t="shared" si="3"/>
        <v>148.93891787448621</v>
      </c>
      <c r="R36" s="140"/>
      <c r="U36" s="141">
        <f t="shared" si="4"/>
        <v>0.61</v>
      </c>
    </row>
    <row r="37" spans="1:21">
      <c r="A37" s="136"/>
      <c r="B37" s="163"/>
      <c r="C37" s="164" t="s">
        <v>172</v>
      </c>
      <c r="D37" s="166">
        <v>110.4</v>
      </c>
      <c r="E37" s="166">
        <v>52.4</v>
      </c>
      <c r="F37" s="165"/>
      <c r="G37" s="173">
        <f>(D37-LookupData!$AM$4*E37)/(LookupData!$AM$2-LookupData!$AM$4)</f>
        <v>31.645714285714291</v>
      </c>
      <c r="H37" s="173">
        <f t="shared" si="2"/>
        <v>20.754285714285707</v>
      </c>
      <c r="I37" s="165"/>
      <c r="J37" s="166">
        <f>D37*LookupData!$AN$10</f>
        <v>348.28127491346817</v>
      </c>
      <c r="K37" s="166">
        <f>E37*LookupData!$AN$10</f>
        <v>165.30741671617508</v>
      </c>
      <c r="L37" s="167"/>
      <c r="M37" s="166">
        <f>G37*LookupData!$AN$10</f>
        <v>99.833421349419609</v>
      </c>
      <c r="N37" s="166">
        <f>H37*LookupData!$AN$10</f>
        <v>65.473995366755489</v>
      </c>
      <c r="O37" s="167"/>
      <c r="P37" s="166">
        <f>(M37+N37*0.75)*LookupData!AN$7</f>
        <v>13.836878244850109</v>
      </c>
      <c r="Q37" s="168">
        <f t="shared" si="3"/>
        <v>148.93891787448621</v>
      </c>
      <c r="R37" s="140"/>
      <c r="U37" s="141">
        <f t="shared" si="4"/>
        <v>0.61</v>
      </c>
    </row>
    <row r="38" spans="1:21">
      <c r="A38" s="136"/>
      <c r="B38" s="149" t="s">
        <v>173</v>
      </c>
      <c r="C38" s="150" t="s">
        <v>174</v>
      </c>
      <c r="D38" s="152">
        <v>109.6</v>
      </c>
      <c r="E38" s="152">
        <v>56.1</v>
      </c>
      <c r="F38" s="151"/>
      <c r="G38" s="152">
        <f>(D38-LookupData!$AM$4*E38)/(LookupData!$AM$2-LookupData!$AM$4)</f>
        <v>28.96857142857143</v>
      </c>
      <c r="H38" s="152">
        <f t="shared" ref="H38:H45" si="5">E38-G38</f>
        <v>27.131428571428572</v>
      </c>
      <c r="I38" s="151"/>
      <c r="J38" s="152">
        <f>D38*LookupData!$AN$10</f>
        <v>345.75749755902274</v>
      </c>
      <c r="K38" s="152">
        <f>E38*LookupData!$AN$10</f>
        <v>176.97988698048519</v>
      </c>
      <c r="L38" s="154"/>
      <c r="M38" s="152">
        <f>G38*LookupData!$AN$10</f>
        <v>91.387780702579036</v>
      </c>
      <c r="N38" s="152">
        <f>H38*LookupData!$AN$10</f>
        <v>85.592106277906154</v>
      </c>
      <c r="O38" s="154"/>
      <c r="P38" s="152">
        <f>(M38+N38*0.75)*LookupData!AN$7</f>
        <v>14.454027801038354</v>
      </c>
      <c r="Q38" s="155">
        <f t="shared" si="3"/>
        <v>155.58186041100865</v>
      </c>
      <c r="R38" s="140"/>
      <c r="U38" s="141">
        <f t="shared" si="4"/>
        <v>0.52</v>
      </c>
    </row>
    <row r="39" spans="1:21">
      <c r="A39" s="136"/>
      <c r="B39" s="156"/>
      <c r="C39" s="157" t="s">
        <v>175</v>
      </c>
      <c r="D39" s="159">
        <v>112</v>
      </c>
      <c r="E39" s="159">
        <v>56.2</v>
      </c>
      <c r="F39" s="158"/>
      <c r="G39" s="159">
        <f>(D39-LookupData!$AM$4*E39)/(LookupData!$AM$2-LookupData!$AM$4)</f>
        <v>30.28</v>
      </c>
      <c r="H39" s="159">
        <f t="shared" si="5"/>
        <v>25.92</v>
      </c>
      <c r="I39" s="158"/>
      <c r="J39" s="159">
        <f>D39*LookupData!$AN$10</f>
        <v>353.32882962235897</v>
      </c>
      <c r="K39" s="159">
        <f>E39*LookupData!$AN$10</f>
        <v>177.29535914979087</v>
      </c>
      <c r="L39" s="161"/>
      <c r="M39" s="159">
        <f>G39*LookupData!$AN$10</f>
        <v>95.52497286575921</v>
      </c>
      <c r="N39" s="159">
        <f>H39*LookupData!$AN$10</f>
        <v>81.770386284031659</v>
      </c>
      <c r="O39" s="161"/>
      <c r="P39" s="159">
        <f>(M39+N39*0.75)*LookupData!AN$7</f>
        <v>14.572098475967179</v>
      </c>
      <c r="Q39" s="162">
        <f t="shared" si="3"/>
        <v>156.85276257878297</v>
      </c>
      <c r="R39" s="140"/>
      <c r="U39" s="141">
        <f t="shared" si="4"/>
        <v>0.54</v>
      </c>
    </row>
    <row r="40" spans="1:21">
      <c r="A40" s="136"/>
      <c r="B40" s="156"/>
      <c r="C40" s="157" t="s">
        <v>176</v>
      </c>
      <c r="D40" s="159">
        <v>112</v>
      </c>
      <c r="E40" s="159">
        <v>56.2</v>
      </c>
      <c r="F40" s="158"/>
      <c r="G40" s="159">
        <f>(D40-LookupData!$AM$4*E40)/(LookupData!$AM$2-LookupData!$AM$4)</f>
        <v>30.28</v>
      </c>
      <c r="H40" s="159">
        <f t="shared" si="5"/>
        <v>25.92</v>
      </c>
      <c r="I40" s="158"/>
      <c r="J40" s="159">
        <f>D40*LookupData!$AN$10</f>
        <v>353.32882962235897</v>
      </c>
      <c r="K40" s="159">
        <f>E40*LookupData!$AN$10</f>
        <v>177.29535914979087</v>
      </c>
      <c r="L40" s="161"/>
      <c r="M40" s="159">
        <f>G40*LookupData!$AN$10</f>
        <v>95.52497286575921</v>
      </c>
      <c r="N40" s="159">
        <f>H40*LookupData!$AN$10</f>
        <v>81.770386284031659</v>
      </c>
      <c r="O40" s="161"/>
      <c r="P40" s="159">
        <f>(M40+N40*0.75)*LookupData!AN$7</f>
        <v>14.572098475967179</v>
      </c>
      <c r="Q40" s="162">
        <f t="shared" si="3"/>
        <v>156.85276257878297</v>
      </c>
      <c r="R40" s="140"/>
      <c r="U40" s="141">
        <f t="shared" si="4"/>
        <v>0.54</v>
      </c>
    </row>
    <row r="41" spans="1:21">
      <c r="A41" s="136"/>
      <c r="B41" s="156"/>
      <c r="C41" s="157" t="s">
        <v>177</v>
      </c>
      <c r="D41" s="159">
        <v>112</v>
      </c>
      <c r="E41" s="159">
        <v>56.2</v>
      </c>
      <c r="F41" s="158"/>
      <c r="G41" s="159">
        <f>(D41-LookupData!$AM$4*E41)/(LookupData!$AM$2-LookupData!$AM$4)</f>
        <v>30.28</v>
      </c>
      <c r="H41" s="159">
        <f t="shared" si="5"/>
        <v>25.92</v>
      </c>
      <c r="I41" s="158"/>
      <c r="J41" s="159">
        <f>D41*LookupData!$AN$10</f>
        <v>353.32882962235897</v>
      </c>
      <c r="K41" s="159">
        <f>E41*LookupData!$AN$10</f>
        <v>177.29535914979087</v>
      </c>
      <c r="L41" s="161"/>
      <c r="M41" s="159">
        <f>G41*LookupData!$AN$10</f>
        <v>95.52497286575921</v>
      </c>
      <c r="N41" s="159">
        <f>H41*LookupData!$AN$10</f>
        <v>81.770386284031659</v>
      </c>
      <c r="O41" s="161"/>
      <c r="P41" s="159">
        <f>(M41+N41*0.75)*LookupData!AN$7</f>
        <v>14.572098475967179</v>
      </c>
      <c r="Q41" s="162">
        <f t="shared" si="3"/>
        <v>156.85276257878297</v>
      </c>
      <c r="R41" s="140"/>
      <c r="U41" s="141">
        <f t="shared" si="4"/>
        <v>0.54</v>
      </c>
    </row>
    <row r="42" spans="1:21">
      <c r="A42" s="136"/>
      <c r="B42" s="156"/>
      <c r="C42" s="157" t="s">
        <v>248</v>
      </c>
      <c r="D42" s="159">
        <v>109.6</v>
      </c>
      <c r="E42" s="159">
        <v>56.1</v>
      </c>
      <c r="F42" s="158"/>
      <c r="G42" s="159">
        <f>(D42-LookupData!$AM$4*E42)/(LookupData!$AM$2-LookupData!$AM$4)</f>
        <v>28.96857142857143</v>
      </c>
      <c r="H42" s="159">
        <f t="shared" si="5"/>
        <v>27.131428571428572</v>
      </c>
      <c r="I42" s="158"/>
      <c r="J42" s="159">
        <f>D42*LookupData!$AN$10</f>
        <v>345.75749755902274</v>
      </c>
      <c r="K42" s="159">
        <f>E42*LookupData!$AN$10</f>
        <v>176.97988698048519</v>
      </c>
      <c r="L42" s="161"/>
      <c r="M42" s="159">
        <f>G42*LookupData!$AN$10</f>
        <v>91.387780702579036</v>
      </c>
      <c r="N42" s="159">
        <f>H42*LookupData!$AN$10</f>
        <v>85.592106277906154</v>
      </c>
      <c r="O42" s="161"/>
      <c r="P42" s="159">
        <f>(M42+N42*0.75)*LookupData!AN$7</f>
        <v>14.454027801038354</v>
      </c>
      <c r="Q42" s="162">
        <f t="shared" si="3"/>
        <v>155.58186041100865</v>
      </c>
      <c r="R42" s="140"/>
      <c r="U42" s="141">
        <f t="shared" si="4"/>
        <v>0.52</v>
      </c>
    </row>
    <row r="43" spans="1:21">
      <c r="A43" s="136"/>
      <c r="B43" s="156"/>
      <c r="C43" s="157" t="s">
        <v>178</v>
      </c>
      <c r="D43" s="159">
        <v>112</v>
      </c>
      <c r="E43" s="159">
        <v>56.2</v>
      </c>
      <c r="F43" s="158"/>
      <c r="G43" s="159">
        <f>(D43-LookupData!$AM$4*E43)/(LookupData!$AM$2-LookupData!$AM$4)</f>
        <v>30.28</v>
      </c>
      <c r="H43" s="159">
        <f t="shared" si="5"/>
        <v>25.92</v>
      </c>
      <c r="I43" s="158"/>
      <c r="J43" s="159">
        <f>D43*LookupData!$AN$10</f>
        <v>353.32882962235897</v>
      </c>
      <c r="K43" s="159">
        <f>E43*LookupData!$AN$10</f>
        <v>177.29535914979087</v>
      </c>
      <c r="L43" s="161"/>
      <c r="M43" s="159">
        <f>G43*LookupData!$AN$10</f>
        <v>95.52497286575921</v>
      </c>
      <c r="N43" s="159">
        <f>H43*LookupData!$AN$10</f>
        <v>81.770386284031659</v>
      </c>
      <c r="O43" s="161"/>
      <c r="P43" s="159">
        <f>(M43+N43*0.75)*LookupData!AN$7</f>
        <v>14.572098475967179</v>
      </c>
      <c r="Q43" s="162">
        <f t="shared" si="3"/>
        <v>156.85276257878297</v>
      </c>
      <c r="R43" s="140"/>
      <c r="U43" s="141">
        <f t="shared" si="4"/>
        <v>0.54</v>
      </c>
    </row>
    <row r="44" spans="1:21">
      <c r="A44" s="136"/>
      <c r="B44" s="156"/>
      <c r="C44" s="157" t="s">
        <v>249</v>
      </c>
      <c r="D44" s="159">
        <v>297</v>
      </c>
      <c r="E44" s="159">
        <v>130.69999999999999</v>
      </c>
      <c r="F44" s="158"/>
      <c r="G44" s="159">
        <f>(D44-LookupData!$AM$4*E44)/(LookupData!$AM$2-LookupData!$AM$4)</f>
        <v>91.294285714285735</v>
      </c>
      <c r="H44" s="159">
        <f t="shared" si="5"/>
        <v>39.405714285714254</v>
      </c>
      <c r="I44" s="158"/>
      <c r="J44" s="159">
        <f>D44*LookupData!$AN$10</f>
        <v>936.95234283786272</v>
      </c>
      <c r="K44" s="159">
        <f>E44*LookupData!$AN$10</f>
        <v>412.32212528252069</v>
      </c>
      <c r="L44" s="161"/>
      <c r="M44" s="159">
        <f>G44*LookupData!$AN$10</f>
        <v>288.00806359498063</v>
      </c>
      <c r="N44" s="159">
        <f>H44*LookupData!$AN$10</f>
        <v>124.31406168754009</v>
      </c>
      <c r="O44" s="161"/>
      <c r="P44" s="159">
        <f>(M44+N44*0.75)*LookupData!AN$7</f>
        <v>35.418690336627037</v>
      </c>
      <c r="Q44" s="162">
        <f t="shared" si="3"/>
        <v>381.24360986063573</v>
      </c>
      <c r="R44" s="140"/>
      <c r="U44" s="141">
        <f t="shared" si="4"/>
        <v>0.7</v>
      </c>
    </row>
    <row r="45" spans="1:21">
      <c r="A45" s="136"/>
      <c r="B45" s="163"/>
      <c r="C45" s="164" t="s">
        <v>240</v>
      </c>
      <c r="D45" s="166">
        <v>112</v>
      </c>
      <c r="E45" s="166">
        <v>56.2</v>
      </c>
      <c r="F45" s="165"/>
      <c r="G45" s="166">
        <f>(D45-LookupData!$AM$4*E45)/(LookupData!$AM$2-LookupData!$AM$4)</f>
        <v>30.28</v>
      </c>
      <c r="H45" s="166">
        <f t="shared" si="5"/>
        <v>25.92</v>
      </c>
      <c r="I45" s="165"/>
      <c r="J45" s="166">
        <f>D45*LookupData!$AN$10</f>
        <v>353.32882962235897</v>
      </c>
      <c r="K45" s="166">
        <f>E45*LookupData!$AN$10</f>
        <v>177.29535914979087</v>
      </c>
      <c r="L45" s="167"/>
      <c r="M45" s="166">
        <f>G45*LookupData!$AN$10</f>
        <v>95.52497286575921</v>
      </c>
      <c r="N45" s="166">
        <f>H45*LookupData!$AN$10</f>
        <v>81.770386284031659</v>
      </c>
      <c r="O45" s="167"/>
      <c r="P45" s="166">
        <f>(M45+N45*0.75)*LookupData!AN$7</f>
        <v>14.572098475967179</v>
      </c>
      <c r="Q45" s="168">
        <f t="shared" si="3"/>
        <v>156.85276257878297</v>
      </c>
      <c r="R45" s="140"/>
      <c r="U45" s="141">
        <f t="shared" si="4"/>
        <v>0.54</v>
      </c>
    </row>
    <row r="46" spans="1:21">
      <c r="A46" s="136"/>
      <c r="B46" s="149" t="s">
        <v>179</v>
      </c>
      <c r="C46" s="150" t="s">
        <v>180</v>
      </c>
      <c r="D46" s="152">
        <v>112</v>
      </c>
      <c r="E46" s="152">
        <v>50.8</v>
      </c>
      <c r="F46" s="151"/>
      <c r="G46" s="152">
        <f>(D46-LookupData!$AM$4*E46)/(LookupData!$AM$2-LookupData!$AM$4)</f>
        <v>33.520000000000003</v>
      </c>
      <c r="H46" s="152">
        <f t="shared" ref="H46:H51" si="6">E46-G46</f>
        <v>17.279999999999994</v>
      </c>
      <c r="I46" s="151"/>
      <c r="J46" s="152">
        <f>D46*LookupData!$AN$10</f>
        <v>353.32882962235897</v>
      </c>
      <c r="K46" s="152">
        <f>E46*LookupData!$AN$10</f>
        <v>160.25986200728426</v>
      </c>
      <c r="L46" s="154"/>
      <c r="M46" s="152">
        <f>G46*LookupData!$AN$10</f>
        <v>105.74627115126317</v>
      </c>
      <c r="N46" s="152">
        <f>H46*LookupData!$AN$10</f>
        <v>54.513590856021082</v>
      </c>
      <c r="O46" s="154"/>
      <c r="P46" s="152">
        <f>(M46+N46*0.75)*LookupData!AN$7</f>
        <v>13.62250879249707</v>
      </c>
      <c r="Q46" s="155">
        <f t="shared" si="3"/>
        <v>146.63146429327898</v>
      </c>
      <c r="R46" s="140"/>
      <c r="U46" s="141">
        <f t="shared" si="4"/>
        <v>0.66</v>
      </c>
    </row>
    <row r="47" spans="1:21">
      <c r="A47" s="136"/>
      <c r="B47" s="156"/>
      <c r="C47" s="157" t="s">
        <v>181</v>
      </c>
      <c r="D47" s="159">
        <v>112</v>
      </c>
      <c r="E47" s="159">
        <v>50.8</v>
      </c>
      <c r="F47" s="158"/>
      <c r="G47" s="159">
        <f>(D47-LookupData!$AM$4*E47)/(LookupData!$AM$2-LookupData!$AM$4)</f>
        <v>33.520000000000003</v>
      </c>
      <c r="H47" s="159">
        <f t="shared" si="6"/>
        <v>17.279999999999994</v>
      </c>
      <c r="I47" s="158"/>
      <c r="J47" s="159">
        <f>D47*LookupData!$AN$10</f>
        <v>353.32882962235897</v>
      </c>
      <c r="K47" s="159">
        <f>E47*LookupData!$AN$10</f>
        <v>160.25986200728426</v>
      </c>
      <c r="L47" s="161"/>
      <c r="M47" s="159">
        <f>G47*LookupData!$AN$10</f>
        <v>105.74627115126317</v>
      </c>
      <c r="N47" s="159">
        <f>H47*LookupData!$AN$10</f>
        <v>54.513590856021082</v>
      </c>
      <c r="O47" s="161"/>
      <c r="P47" s="159">
        <f>(M47+N47*0.75)*LookupData!AN$7</f>
        <v>13.62250879249707</v>
      </c>
      <c r="Q47" s="162">
        <f t="shared" si="3"/>
        <v>146.63146429327898</v>
      </c>
      <c r="R47" s="140"/>
      <c r="U47" s="141">
        <f t="shared" si="4"/>
        <v>0.66</v>
      </c>
    </row>
    <row r="48" spans="1:21">
      <c r="A48" s="136"/>
      <c r="B48" s="156"/>
      <c r="C48" s="157" t="s">
        <v>250</v>
      </c>
      <c r="D48" s="159">
        <v>112</v>
      </c>
      <c r="E48" s="159">
        <v>50.8</v>
      </c>
      <c r="F48" s="158"/>
      <c r="G48" s="159">
        <f>(D48-LookupData!$AM$4*E48)/(LookupData!$AM$2-LookupData!$AM$4)</f>
        <v>33.520000000000003</v>
      </c>
      <c r="H48" s="159">
        <f t="shared" si="6"/>
        <v>17.279999999999994</v>
      </c>
      <c r="I48" s="158"/>
      <c r="J48" s="159">
        <f>D48*LookupData!$AN$10</f>
        <v>353.32882962235897</v>
      </c>
      <c r="K48" s="159">
        <f>E48*LookupData!$AN$10</f>
        <v>160.25986200728426</v>
      </c>
      <c r="L48" s="161"/>
      <c r="M48" s="159">
        <f>G48*LookupData!$AN$10</f>
        <v>105.74627115126317</v>
      </c>
      <c r="N48" s="159">
        <f>H48*LookupData!$AN$10</f>
        <v>54.513590856021082</v>
      </c>
      <c r="O48" s="161"/>
      <c r="P48" s="159">
        <f>(M48+N48*0.75)*LookupData!AN$7</f>
        <v>13.62250879249707</v>
      </c>
      <c r="Q48" s="162">
        <f t="shared" si="3"/>
        <v>146.63146429327898</v>
      </c>
      <c r="R48" s="140"/>
      <c r="U48" s="141">
        <f t="shared" si="4"/>
        <v>0.66</v>
      </c>
    </row>
    <row r="49" spans="1:21">
      <c r="A49" s="136"/>
      <c r="B49" s="156"/>
      <c r="C49" s="157" t="s">
        <v>181</v>
      </c>
      <c r="D49" s="159">
        <v>112</v>
      </c>
      <c r="E49" s="159">
        <v>50.8</v>
      </c>
      <c r="F49" s="158"/>
      <c r="G49" s="159">
        <f>(D49-LookupData!$AM$4*E49)/(LookupData!$AM$2-LookupData!$AM$4)</f>
        <v>33.520000000000003</v>
      </c>
      <c r="H49" s="159">
        <f t="shared" si="6"/>
        <v>17.279999999999994</v>
      </c>
      <c r="I49" s="158"/>
      <c r="J49" s="159">
        <f>D49*LookupData!$AN$10</f>
        <v>353.32882962235897</v>
      </c>
      <c r="K49" s="159">
        <f>E49*LookupData!$AN$10</f>
        <v>160.25986200728426</v>
      </c>
      <c r="L49" s="161"/>
      <c r="M49" s="159">
        <f>G49*LookupData!$AN$10</f>
        <v>105.74627115126317</v>
      </c>
      <c r="N49" s="159">
        <f>H49*LookupData!$AN$10</f>
        <v>54.513590856021082</v>
      </c>
      <c r="O49" s="161"/>
      <c r="P49" s="159">
        <f>(M49+N49*0.75)*LookupData!AN$7</f>
        <v>13.62250879249707</v>
      </c>
      <c r="Q49" s="162">
        <f t="shared" si="3"/>
        <v>146.63146429327898</v>
      </c>
      <c r="R49" s="140"/>
      <c r="U49" s="141">
        <f t="shared" si="4"/>
        <v>0.66</v>
      </c>
    </row>
    <row r="50" spans="1:21">
      <c r="A50" s="136"/>
      <c r="B50" s="156"/>
      <c r="C50" s="157" t="s">
        <v>182</v>
      </c>
      <c r="D50" s="159">
        <v>112</v>
      </c>
      <c r="E50" s="159">
        <v>50.8</v>
      </c>
      <c r="F50" s="158"/>
      <c r="G50" s="159">
        <f>(D50-LookupData!$AM$4*E50)/(LookupData!$AM$2-LookupData!$AM$4)</f>
        <v>33.520000000000003</v>
      </c>
      <c r="H50" s="159">
        <f t="shared" si="6"/>
        <v>17.279999999999994</v>
      </c>
      <c r="I50" s="158"/>
      <c r="J50" s="159">
        <f>D50*LookupData!$AN$10</f>
        <v>353.32882962235897</v>
      </c>
      <c r="K50" s="159">
        <f>E50*LookupData!$AN$10</f>
        <v>160.25986200728426</v>
      </c>
      <c r="L50" s="161"/>
      <c r="M50" s="159">
        <f>G50*LookupData!$AN$10</f>
        <v>105.74627115126317</v>
      </c>
      <c r="N50" s="159">
        <f>H50*LookupData!$AN$10</f>
        <v>54.513590856021082</v>
      </c>
      <c r="O50" s="161"/>
      <c r="P50" s="159">
        <f>(M50+N50*0.75)*LookupData!AN$7</f>
        <v>13.62250879249707</v>
      </c>
      <c r="Q50" s="162">
        <f t="shared" si="3"/>
        <v>146.63146429327898</v>
      </c>
      <c r="R50" s="140"/>
      <c r="U50" s="141">
        <f t="shared" si="4"/>
        <v>0.66</v>
      </c>
    </row>
    <row r="51" spans="1:21">
      <c r="A51" s="136"/>
      <c r="B51" s="163"/>
      <c r="C51" s="164" t="s">
        <v>183</v>
      </c>
      <c r="D51" s="166">
        <v>112</v>
      </c>
      <c r="E51" s="166">
        <v>50.8</v>
      </c>
      <c r="F51" s="165"/>
      <c r="G51" s="166">
        <f>(D51-LookupData!$AM$4*E51)/(LookupData!$AM$2-LookupData!$AM$4)</f>
        <v>33.520000000000003</v>
      </c>
      <c r="H51" s="166">
        <f t="shared" si="6"/>
        <v>17.279999999999994</v>
      </c>
      <c r="I51" s="165"/>
      <c r="J51" s="166">
        <f>D51*LookupData!$AN$10</f>
        <v>353.32882962235897</v>
      </c>
      <c r="K51" s="166">
        <f>E51*LookupData!$AN$10</f>
        <v>160.25986200728426</v>
      </c>
      <c r="L51" s="167"/>
      <c r="M51" s="166">
        <f>G51*LookupData!$AN$10</f>
        <v>105.74627115126317</v>
      </c>
      <c r="N51" s="166">
        <f>H51*LookupData!$AN$10</f>
        <v>54.513590856021082</v>
      </c>
      <c r="O51" s="167"/>
      <c r="P51" s="166">
        <f>(M51+N51*0.75)*LookupData!AN$7</f>
        <v>13.62250879249707</v>
      </c>
      <c r="Q51" s="168">
        <f t="shared" si="3"/>
        <v>146.63146429327898</v>
      </c>
      <c r="R51" s="140"/>
      <c r="U51" s="141">
        <f t="shared" si="4"/>
        <v>0.66</v>
      </c>
    </row>
    <row r="52" spans="1:21">
      <c r="A52" s="136"/>
      <c r="B52" s="149" t="s">
        <v>184</v>
      </c>
      <c r="C52" s="150" t="s">
        <v>185</v>
      </c>
      <c r="D52" s="152">
        <v>592.6</v>
      </c>
      <c r="E52" s="152">
        <v>231.4</v>
      </c>
      <c r="F52" s="151"/>
      <c r="G52" s="152">
        <f>(D52-LookupData!$AM$4*E52)/(LookupData!$AM$2-LookupData!$AM$4)</f>
        <v>199.78857142857146</v>
      </c>
      <c r="H52" s="152">
        <f t="shared" ref="H52:H60" si="7">E52-G52</f>
        <v>31.611428571428547</v>
      </c>
      <c r="I52" s="151"/>
      <c r="J52" s="152">
        <f>D52*LookupData!$AN$10</f>
        <v>1869.488075305446</v>
      </c>
      <c r="K52" s="152">
        <f>E52*LookupData!$AN$10</f>
        <v>730.00259977333815</v>
      </c>
      <c r="L52" s="154"/>
      <c r="M52" s="152">
        <f>G52*LookupData!$AN$10</f>
        <v>630.27734031053774</v>
      </c>
      <c r="N52" s="152">
        <f>H52*LookupData!$AN$10</f>
        <v>99.725259462800437</v>
      </c>
      <c r="O52" s="154"/>
      <c r="P52" s="152">
        <f>(M52+N52*0.75)*LookupData!AN$7</f>
        <v>65.503265784625697</v>
      </c>
      <c r="Q52" s="155">
        <f t="shared" si="3"/>
        <v>705.07128490763807</v>
      </c>
      <c r="R52" s="140"/>
      <c r="U52" s="141">
        <f t="shared" si="4"/>
        <v>0.87</v>
      </c>
    </row>
    <row r="53" spans="1:21">
      <c r="A53" s="136"/>
      <c r="B53" s="156"/>
      <c r="C53" s="157" t="s">
        <v>249</v>
      </c>
      <c r="D53" s="159">
        <v>297</v>
      </c>
      <c r="E53" s="159">
        <v>130.69999999999999</v>
      </c>
      <c r="F53" s="158"/>
      <c r="G53" s="159">
        <f>(D53-LookupData!$AM$4*E53)/(LookupData!$AM$2-LookupData!$AM$4)</f>
        <v>91.294285714285735</v>
      </c>
      <c r="H53" s="159">
        <f t="shared" si="7"/>
        <v>39.405714285714254</v>
      </c>
      <c r="I53" s="158"/>
      <c r="J53" s="159">
        <f>D53*LookupData!$AN$10</f>
        <v>936.95234283786272</v>
      </c>
      <c r="K53" s="159">
        <f>E53*LookupData!$AN$10</f>
        <v>412.32212528252069</v>
      </c>
      <c r="L53" s="161"/>
      <c r="M53" s="159">
        <f>G53*LookupData!$AN$10</f>
        <v>288.00806359498063</v>
      </c>
      <c r="N53" s="159">
        <f>H53*LookupData!$AN$10</f>
        <v>124.31406168754009</v>
      </c>
      <c r="O53" s="161"/>
      <c r="P53" s="159">
        <f>(M53+N53*0.75)*LookupData!AN$7</f>
        <v>35.418690336627037</v>
      </c>
      <c r="Q53" s="162">
        <f t="shared" si="3"/>
        <v>381.24360986063573</v>
      </c>
      <c r="R53" s="140"/>
      <c r="U53" s="141">
        <f t="shared" si="4"/>
        <v>0.7</v>
      </c>
    </row>
    <row r="54" spans="1:21">
      <c r="A54" s="136"/>
      <c r="B54" s="156"/>
      <c r="C54" s="157" t="s">
        <v>186</v>
      </c>
      <c r="D54" s="159">
        <v>886.4</v>
      </c>
      <c r="E54" s="159">
        <v>402.7</v>
      </c>
      <c r="F54" s="158"/>
      <c r="G54" s="159">
        <f>(D54-LookupData!$AM$4*E54)/(LookupData!$AM$2-LookupData!$AM$4)</f>
        <v>264.89428571428573</v>
      </c>
      <c r="H54" s="159">
        <f t="shared" si="7"/>
        <v>137.80571428571426</v>
      </c>
      <c r="I54" s="158"/>
      <c r="J54" s="159">
        <f>D54*LookupData!$AN$10</f>
        <v>2796.345308725527</v>
      </c>
      <c r="K54" s="159">
        <f>E54*LookupData!$AN$10</f>
        <v>1270.406425793964</v>
      </c>
      <c r="L54" s="161"/>
      <c r="M54" s="159">
        <f>G54*LookupData!$AN$10</f>
        <v>835.66774950963702</v>
      </c>
      <c r="N54" s="159">
        <f>H54*LookupData!$AN$10</f>
        <v>434.73867628432691</v>
      </c>
      <c r="O54" s="161"/>
      <c r="P54" s="159">
        <f>(M54+N54*0.75)*LookupData!AN$7</f>
        <v>107.9274828336962</v>
      </c>
      <c r="Q54" s="162">
        <f t="shared" si="3"/>
        <v>1161.7217567228822</v>
      </c>
      <c r="R54" s="140"/>
      <c r="U54" s="141">
        <f t="shared" si="4"/>
        <v>0.66</v>
      </c>
    </row>
    <row r="55" spans="1:21">
      <c r="A55" s="136"/>
      <c r="B55" s="156"/>
      <c r="C55" s="157" t="s">
        <v>187</v>
      </c>
      <c r="D55" s="159">
        <v>573.70000000000005</v>
      </c>
      <c r="E55" s="159">
        <v>325.60000000000002</v>
      </c>
      <c r="F55" s="158"/>
      <c r="G55" s="159">
        <f>(D55-LookupData!$AM$4*E55)/(LookupData!$AM$2-LookupData!$AM$4)</f>
        <v>132.46857142857144</v>
      </c>
      <c r="H55" s="159">
        <f t="shared" si="7"/>
        <v>193.13142857142859</v>
      </c>
      <c r="I55" s="158"/>
      <c r="J55" s="159">
        <f>D55*LookupData!$AN$10</f>
        <v>1809.8638353066729</v>
      </c>
      <c r="K55" s="159">
        <f>E55*LookupData!$AN$10</f>
        <v>1027.1773832592867</v>
      </c>
      <c r="L55" s="161"/>
      <c r="M55" s="159">
        <f>G55*LookupData!$AN$10</f>
        <v>417.90147593395545</v>
      </c>
      <c r="N55" s="159">
        <f>H55*LookupData!$AN$10</f>
        <v>609.2759073253311</v>
      </c>
      <c r="O55" s="161"/>
      <c r="P55" s="159">
        <f>(M55+N55*0.75)*LookupData!AN$7</f>
        <v>81.277005526712458</v>
      </c>
      <c r="Q55" s="162">
        <f t="shared" si="3"/>
        <v>874.85840642795381</v>
      </c>
      <c r="R55" s="140"/>
      <c r="U55" s="141">
        <f t="shared" si="4"/>
        <v>0.41000000000000003</v>
      </c>
    </row>
    <row r="56" spans="1:21">
      <c r="A56" s="136"/>
      <c r="B56" s="156"/>
      <c r="C56" s="157" t="s">
        <v>251</v>
      </c>
      <c r="D56" s="159">
        <v>573.70000000000005</v>
      </c>
      <c r="E56" s="159">
        <v>325.60000000000002</v>
      </c>
      <c r="F56" s="158"/>
      <c r="G56" s="159">
        <f>(D56-LookupData!$AM$4*E56)/(LookupData!$AM$2-LookupData!$AM$4)</f>
        <v>132.46857142857144</v>
      </c>
      <c r="H56" s="159">
        <f t="shared" si="7"/>
        <v>193.13142857142859</v>
      </c>
      <c r="I56" s="158"/>
      <c r="J56" s="159">
        <f>D56*LookupData!$AN$10</f>
        <v>1809.8638353066729</v>
      </c>
      <c r="K56" s="159">
        <f>E56*LookupData!$AN$10</f>
        <v>1027.1773832592867</v>
      </c>
      <c r="L56" s="161"/>
      <c r="M56" s="159">
        <f>G56*LookupData!$AN$10</f>
        <v>417.90147593395545</v>
      </c>
      <c r="N56" s="159">
        <f>H56*LookupData!$AN$10</f>
        <v>609.2759073253311</v>
      </c>
      <c r="O56" s="161"/>
      <c r="P56" s="159">
        <f>(M56+N56*0.75)*LookupData!AN$7</f>
        <v>81.277005526712458</v>
      </c>
      <c r="Q56" s="162">
        <f t="shared" si="3"/>
        <v>874.85840642795381</v>
      </c>
      <c r="R56" s="140"/>
      <c r="U56" s="141">
        <f t="shared" si="4"/>
        <v>0.41000000000000003</v>
      </c>
    </row>
    <row r="57" spans="1:21">
      <c r="A57" s="136"/>
      <c r="B57" s="156"/>
      <c r="C57" s="157" t="s">
        <v>252</v>
      </c>
      <c r="D57" s="159">
        <v>444</v>
      </c>
      <c r="E57" s="159">
        <v>196</v>
      </c>
      <c r="F57" s="158"/>
      <c r="G57" s="159">
        <f>(D57-LookupData!$AM$4*E57)/(LookupData!$AM$2-LookupData!$AM$4)</f>
        <v>136.11428571428573</v>
      </c>
      <c r="H57" s="159">
        <f t="shared" si="7"/>
        <v>59.885714285714272</v>
      </c>
      <c r="I57" s="158"/>
      <c r="J57" s="159">
        <f>D57*LookupData!$AN$10</f>
        <v>1400.696431717209</v>
      </c>
      <c r="K57" s="159">
        <f>E57*LookupData!$AN$10</f>
        <v>618.32545183912828</v>
      </c>
      <c r="L57" s="161"/>
      <c r="M57" s="159">
        <f>G57*LookupData!$AN$10</f>
        <v>429.40268987778529</v>
      </c>
      <c r="N57" s="159">
        <f>H57*LookupData!$AN$10</f>
        <v>188.92276196134293</v>
      </c>
      <c r="O57" s="161"/>
      <c r="P57" s="159">
        <f>(M57+N57*0.75)*LookupData!AN$7</f>
        <v>53.056439457377323</v>
      </c>
      <c r="Q57" s="162">
        <f t="shared" si="3"/>
        <v>571.09476134879242</v>
      </c>
      <c r="R57" s="140"/>
      <c r="U57" s="141">
        <f t="shared" si="4"/>
        <v>0.7</v>
      </c>
    </row>
    <row r="58" spans="1:21" ht="15.75" customHeight="1">
      <c r="A58" s="136"/>
      <c r="B58" s="156"/>
      <c r="C58" s="157" t="s">
        <v>253</v>
      </c>
      <c r="D58" s="159">
        <v>120</v>
      </c>
      <c r="E58" s="159">
        <v>51.4</v>
      </c>
      <c r="F58" s="158"/>
      <c r="G58" s="159">
        <f>(D58-LookupData!$AM$4*E58)/(LookupData!$AM$2-LookupData!$AM$4)</f>
        <v>37.73142857142858</v>
      </c>
      <c r="H58" s="159">
        <f t="shared" si="7"/>
        <v>13.668571428571418</v>
      </c>
      <c r="I58" s="158"/>
      <c r="J58" s="159">
        <f>D58*LookupData!$AN$10</f>
        <v>378.5666031668132</v>
      </c>
      <c r="K58" s="159">
        <f>E58*LookupData!$AN$10</f>
        <v>162.15269502311833</v>
      </c>
      <c r="L58" s="161"/>
      <c r="M58" s="159">
        <f>G58*LookupData!$AN$10</f>
        <v>119.03215622430801</v>
      </c>
      <c r="N58" s="159">
        <f>H58*LookupData!$AN$10</f>
        <v>43.120538798810308</v>
      </c>
      <c r="O58" s="161"/>
      <c r="P58" s="159">
        <f>(M58+N58*0.75)*LookupData!AN$7</f>
        <v>14.062971026628706</v>
      </c>
      <c r="Q58" s="162">
        <f t="shared" si="3"/>
        <v>151.37256032341574</v>
      </c>
      <c r="R58" s="140"/>
      <c r="U58" s="141">
        <f t="shared" si="4"/>
        <v>0.74</v>
      </c>
    </row>
    <row r="59" spans="1:21">
      <c r="A59" s="136"/>
      <c r="B59" s="156"/>
      <c r="C59" s="157" t="s">
        <v>188</v>
      </c>
      <c r="D59" s="159">
        <v>592.6</v>
      </c>
      <c r="E59" s="159">
        <v>231.4</v>
      </c>
      <c r="F59" s="158"/>
      <c r="G59" s="159">
        <f>(D59-LookupData!$AM$4*E59)/(LookupData!$AM$2-LookupData!$AM$4)</f>
        <v>199.78857142857146</v>
      </c>
      <c r="H59" s="159">
        <f t="shared" si="7"/>
        <v>31.611428571428547</v>
      </c>
      <c r="I59" s="158"/>
      <c r="J59" s="159">
        <f>D59*LookupData!$AN$10</f>
        <v>1869.488075305446</v>
      </c>
      <c r="K59" s="159">
        <f>E59*LookupData!$AN$10</f>
        <v>730.00259977333815</v>
      </c>
      <c r="L59" s="161"/>
      <c r="M59" s="159">
        <f>G59*LookupData!$AN$10</f>
        <v>630.27734031053774</v>
      </c>
      <c r="N59" s="159">
        <f>H59*LookupData!$AN$10</f>
        <v>99.725259462800437</v>
      </c>
      <c r="O59" s="161"/>
      <c r="P59" s="159">
        <f>(M59+N59*0.75)*LookupData!AN$7</f>
        <v>65.503265784625697</v>
      </c>
      <c r="Q59" s="162">
        <f t="shared" si="3"/>
        <v>705.07128490763807</v>
      </c>
      <c r="R59" s="140"/>
      <c r="U59" s="141">
        <f t="shared" si="4"/>
        <v>0.87</v>
      </c>
    </row>
    <row r="60" spans="1:21">
      <c r="A60" s="136"/>
      <c r="B60" s="163"/>
      <c r="C60" s="164" t="s">
        <v>189</v>
      </c>
      <c r="D60" s="166">
        <v>527.70000000000005</v>
      </c>
      <c r="E60" s="166">
        <v>270.3</v>
      </c>
      <c r="F60" s="165"/>
      <c r="G60" s="166">
        <f>(D60-LookupData!$AM$4*E60)/(LookupData!$AM$2-LookupData!$AM$4)</f>
        <v>139.36285714285719</v>
      </c>
      <c r="H60" s="166">
        <f t="shared" si="7"/>
        <v>130.93714285714282</v>
      </c>
      <c r="I60" s="165"/>
      <c r="J60" s="166">
        <f>D60*LookupData!$AN$10</f>
        <v>1664.7466374260612</v>
      </c>
      <c r="K60" s="166">
        <f>E60*LookupData!$AN$10</f>
        <v>852.72127363324682</v>
      </c>
      <c r="L60" s="167"/>
      <c r="M60" s="166">
        <f>G60*LookupData!$AN$10</f>
        <v>439.65102863494417</v>
      </c>
      <c r="N60" s="166">
        <f>H60*LookupData!$AN$10</f>
        <v>413.07024499830266</v>
      </c>
      <c r="O60" s="167"/>
      <c r="P60" s="166">
        <f>(M60+N60*0.75)*LookupData!AN$7</f>
        <v>69.626528219728698</v>
      </c>
      <c r="Q60" s="168">
        <f t="shared" si="3"/>
        <v>749.45371238367113</v>
      </c>
      <c r="R60" s="140"/>
      <c r="U60" s="141">
        <f t="shared" si="4"/>
        <v>0.52</v>
      </c>
    </row>
    <row r="61" spans="1:21">
      <c r="A61" s="136"/>
      <c r="B61" s="149" t="s">
        <v>190</v>
      </c>
      <c r="C61" s="150" t="s">
        <v>191</v>
      </c>
      <c r="D61" s="152">
        <v>138.30000000000001</v>
      </c>
      <c r="E61" s="152">
        <v>62</v>
      </c>
      <c r="F61" s="151"/>
      <c r="G61" s="152">
        <f>(D61-LookupData!$AM$4*E61)/(LookupData!$AM$2-LookupData!$AM$4)</f>
        <v>41.828571428571436</v>
      </c>
      <c r="H61" s="152">
        <f t="shared" ref="H61:H68" si="8">E61-G61</f>
        <v>20.171428571428564</v>
      </c>
      <c r="I61" s="151"/>
      <c r="J61" s="152">
        <f>D61*LookupData!$AN$10</f>
        <v>436.29801014975226</v>
      </c>
      <c r="K61" s="152">
        <f>E61*LookupData!$AN$10</f>
        <v>195.59274496952017</v>
      </c>
      <c r="L61" s="154"/>
      <c r="M61" s="152">
        <f>G61*LookupData!$AN$10</f>
        <v>131.95750167528919</v>
      </c>
      <c r="N61" s="152">
        <f>H61*LookupData!$AN$10</f>
        <v>63.63524329423096</v>
      </c>
      <c r="O61" s="154"/>
      <c r="P61" s="152">
        <f>(M61+N61*0.75)*LookupData!AN$7</f>
        <v>16.693183721319713</v>
      </c>
      <c r="Q61" s="155">
        <f t="shared" si="3"/>
        <v>179.68393414596241</v>
      </c>
      <c r="R61" s="140"/>
      <c r="U61" s="141">
        <f t="shared" si="4"/>
        <v>0.68</v>
      </c>
    </row>
    <row r="62" spans="1:21" ht="30">
      <c r="A62" s="136"/>
      <c r="B62" s="156"/>
      <c r="C62" s="157" t="s">
        <v>242</v>
      </c>
      <c r="D62" s="159">
        <v>426.9</v>
      </c>
      <c r="E62" s="159">
        <v>234.3</v>
      </c>
      <c r="F62" s="158"/>
      <c r="G62" s="159">
        <f>(D62-LookupData!$AM$4*E62)/(LookupData!$AM$2-LookupData!$AM$4)</f>
        <v>103.36285714285714</v>
      </c>
      <c r="H62" s="159">
        <f t="shared" si="8"/>
        <v>130.93714285714287</v>
      </c>
      <c r="I62" s="158"/>
      <c r="J62" s="159">
        <f>D62*LookupData!$AN$10</f>
        <v>1346.7506907659379</v>
      </c>
      <c r="K62" s="159">
        <f>E62*LookupData!$AN$10</f>
        <v>739.15129268320288</v>
      </c>
      <c r="L62" s="161"/>
      <c r="M62" s="159">
        <f>G62*LookupData!$AN$10</f>
        <v>326.0810476849</v>
      </c>
      <c r="N62" s="159">
        <f>H62*LookupData!$AN$10</f>
        <v>413.07024499830283</v>
      </c>
      <c r="O62" s="161"/>
      <c r="P62" s="159">
        <f>(M62+N62*0.75)*LookupData!AN$7</f>
        <v>59.075531736727527</v>
      </c>
      <c r="Q62" s="162">
        <f t="shared" si="3"/>
        <v>635.88373143362719</v>
      </c>
      <c r="R62" s="140"/>
      <c r="U62" s="141">
        <f t="shared" si="4"/>
        <v>0.45</v>
      </c>
    </row>
    <row r="63" spans="1:21">
      <c r="A63" s="136"/>
      <c r="B63" s="156"/>
      <c r="C63" s="157" t="s">
        <v>243</v>
      </c>
      <c r="D63" s="159">
        <v>433.9</v>
      </c>
      <c r="E63" s="159">
        <v>206.7</v>
      </c>
      <c r="F63" s="158"/>
      <c r="G63" s="159">
        <f>(D63-LookupData!$AM$4*E63)/(LookupData!$AM$2-LookupData!$AM$4)</f>
        <v>123.92285714285715</v>
      </c>
      <c r="H63" s="159">
        <f t="shared" si="8"/>
        <v>82.777142857142834</v>
      </c>
      <c r="I63" s="158"/>
      <c r="J63" s="159">
        <f>D63*LookupData!$AN$10</f>
        <v>1368.8337426173352</v>
      </c>
      <c r="K63" s="159">
        <f>E63*LookupData!$AN$10</f>
        <v>652.08097395483571</v>
      </c>
      <c r="L63" s="161"/>
      <c r="M63" s="159">
        <f>G63*LookupData!$AN$10</f>
        <v>390.94212569414742</v>
      </c>
      <c r="N63" s="159">
        <f>H63*LookupData!$AN$10</f>
        <v>261.13884826068829</v>
      </c>
      <c r="O63" s="161"/>
      <c r="P63" s="159">
        <f>(M63+N63*0.75)*LookupData!AN$7</f>
        <v>54.515156590185896</v>
      </c>
      <c r="Q63" s="162">
        <f t="shared" si="3"/>
        <v>586.79626188966358</v>
      </c>
      <c r="R63" s="140"/>
      <c r="U63" s="141">
        <f t="shared" si="4"/>
        <v>0.6</v>
      </c>
    </row>
    <row r="64" spans="1:21">
      <c r="A64" s="136"/>
      <c r="B64" s="156"/>
      <c r="C64" s="157" t="s">
        <v>192</v>
      </c>
      <c r="D64" s="159">
        <v>121.7</v>
      </c>
      <c r="E64" s="159">
        <v>51.2</v>
      </c>
      <c r="F64" s="158"/>
      <c r="G64" s="159">
        <f>(D64-LookupData!$AM$4*E64)/(LookupData!$AM$2-LookupData!$AM$4)</f>
        <v>38.822857142857146</v>
      </c>
      <c r="H64" s="159">
        <f t="shared" si="8"/>
        <v>12.377142857142857</v>
      </c>
      <c r="I64" s="158"/>
      <c r="J64" s="159">
        <f>D64*LookupData!$AN$10</f>
        <v>383.92963004500973</v>
      </c>
      <c r="K64" s="159">
        <f>E64*LookupData!$AN$10</f>
        <v>161.52175068450697</v>
      </c>
      <c r="L64" s="161"/>
      <c r="M64" s="159">
        <f>G64*LookupData!$AN$10</f>
        <v>122.47530961501568</v>
      </c>
      <c r="N64" s="159">
        <f>H64*LookupData!$AN$10</f>
        <v>39.046441069491308</v>
      </c>
      <c r="O64" s="161"/>
      <c r="P64" s="159">
        <f>(M64+N64*0.75)*LookupData!AN$7</f>
        <v>14.098978395578632</v>
      </c>
      <c r="Q64" s="162">
        <f t="shared" si="3"/>
        <v>151.76014041713415</v>
      </c>
      <c r="R64" s="140"/>
      <c r="U64" s="141">
        <f t="shared" si="4"/>
        <v>0.76</v>
      </c>
    </row>
    <row r="65" spans="1:21" ht="45">
      <c r="A65" s="136"/>
      <c r="B65" s="156"/>
      <c r="C65" s="157" t="s">
        <v>254</v>
      </c>
      <c r="D65" s="159">
        <v>138.30000000000001</v>
      </c>
      <c r="E65" s="159">
        <v>62</v>
      </c>
      <c r="F65" s="158"/>
      <c r="G65" s="159">
        <f>(D65-LookupData!$AM$4*E65)/(LookupData!$AM$2-LookupData!$AM$4)</f>
        <v>41.828571428571436</v>
      </c>
      <c r="H65" s="159">
        <f t="shared" si="8"/>
        <v>20.171428571428564</v>
      </c>
      <c r="I65" s="158"/>
      <c r="J65" s="159">
        <f>D65*LookupData!$AN$10</f>
        <v>436.29801014975226</v>
      </c>
      <c r="K65" s="159">
        <f>E65*LookupData!$AN$10</f>
        <v>195.59274496952017</v>
      </c>
      <c r="L65" s="161"/>
      <c r="M65" s="159">
        <f>G65*LookupData!$AN$10</f>
        <v>131.95750167528919</v>
      </c>
      <c r="N65" s="159">
        <f>H65*LookupData!$AN$10</f>
        <v>63.63524329423096</v>
      </c>
      <c r="O65" s="161"/>
      <c r="P65" s="159">
        <f>(M65+N65*0.75)*LookupData!AN$7</f>
        <v>16.693183721319713</v>
      </c>
      <c r="Q65" s="162">
        <f t="shared" si="3"/>
        <v>179.68393414596241</v>
      </c>
      <c r="R65" s="140"/>
      <c r="U65" s="141">
        <f t="shared" si="4"/>
        <v>0.68</v>
      </c>
    </row>
    <row r="66" spans="1:21">
      <c r="A66" s="136"/>
      <c r="B66" s="156"/>
      <c r="C66" s="157" t="s">
        <v>193</v>
      </c>
      <c r="D66" s="159">
        <v>213.2</v>
      </c>
      <c r="E66" s="159">
        <v>99</v>
      </c>
      <c r="F66" s="158"/>
      <c r="G66" s="159">
        <f>(D66-LookupData!$AM$4*E66)/(LookupData!$AM$2-LookupData!$AM$4)</f>
        <v>62.428571428571431</v>
      </c>
      <c r="H66" s="159">
        <f t="shared" si="8"/>
        <v>36.571428571428569</v>
      </c>
      <c r="I66" s="158"/>
      <c r="J66" s="159">
        <f>D66*LookupData!$AN$10</f>
        <v>672.58666495970476</v>
      </c>
      <c r="K66" s="159">
        <f>E66*LookupData!$AN$10</f>
        <v>312.31744761262092</v>
      </c>
      <c r="L66" s="161"/>
      <c r="M66" s="159">
        <f>G66*LookupData!$AN$10</f>
        <v>196.94476855225878</v>
      </c>
      <c r="N66" s="159">
        <f>H66*LookupData!$AN$10</f>
        <v>115.37267906036212</v>
      </c>
      <c r="O66" s="161"/>
      <c r="P66" s="159">
        <f>(M66+N66*0.75)*LookupData!AN$7</f>
        <v>26.335622173840232</v>
      </c>
      <c r="Q66" s="162">
        <f t="shared" si="3"/>
        <v>283.4742778475304</v>
      </c>
      <c r="R66" s="140"/>
      <c r="U66" s="141">
        <f t="shared" si="4"/>
        <v>0.64</v>
      </c>
    </row>
    <row r="67" spans="1:21">
      <c r="A67" s="136"/>
      <c r="B67" s="156"/>
      <c r="C67" s="157" t="s">
        <v>194</v>
      </c>
      <c r="D67" s="159">
        <v>213.2</v>
      </c>
      <c r="E67" s="159">
        <v>99</v>
      </c>
      <c r="F67" s="158"/>
      <c r="G67" s="159">
        <f>(D67-LookupData!$AM$4*E67)/(LookupData!$AM$2-LookupData!$AM$4)</f>
        <v>62.428571428571431</v>
      </c>
      <c r="H67" s="159">
        <f t="shared" si="8"/>
        <v>36.571428571428569</v>
      </c>
      <c r="I67" s="158"/>
      <c r="J67" s="159">
        <f>D67*LookupData!$AN$10</f>
        <v>672.58666495970476</v>
      </c>
      <c r="K67" s="159">
        <f>E67*LookupData!$AN$10</f>
        <v>312.31744761262092</v>
      </c>
      <c r="L67" s="161"/>
      <c r="M67" s="159">
        <f>G67*LookupData!$AN$10</f>
        <v>196.94476855225878</v>
      </c>
      <c r="N67" s="159">
        <f>H67*LookupData!$AN$10</f>
        <v>115.37267906036212</v>
      </c>
      <c r="O67" s="161"/>
      <c r="P67" s="159">
        <f>(M67+N67*0.75)*LookupData!AN$7</f>
        <v>26.335622173840232</v>
      </c>
      <c r="Q67" s="162">
        <f t="shared" si="3"/>
        <v>283.4742778475304</v>
      </c>
      <c r="R67" s="140"/>
      <c r="U67" s="141">
        <f t="shared" si="4"/>
        <v>0.64</v>
      </c>
    </row>
    <row r="68" spans="1:21" ht="30">
      <c r="A68" s="136"/>
      <c r="B68" s="163"/>
      <c r="C68" s="164" t="s">
        <v>255</v>
      </c>
      <c r="D68" s="166">
        <v>145.80000000000001</v>
      </c>
      <c r="E68" s="166">
        <v>64.5</v>
      </c>
      <c r="F68" s="165"/>
      <c r="G68" s="166">
        <f>(D68-LookupData!$AM$4*E68)/(LookupData!$AM$2-LookupData!$AM$4)</f>
        <v>44.614285714285721</v>
      </c>
      <c r="H68" s="166">
        <f t="shared" si="8"/>
        <v>19.885714285714279</v>
      </c>
      <c r="I68" s="165"/>
      <c r="J68" s="166">
        <f>D68*LookupData!$AN$10</f>
        <v>459.95842284767809</v>
      </c>
      <c r="K68" s="166">
        <f>E68*LookupData!$AN$10</f>
        <v>203.4795492021621</v>
      </c>
      <c r="L68" s="167"/>
      <c r="M68" s="166">
        <f>G68*LookupData!$AN$10</f>
        <v>140.74565496309023</v>
      </c>
      <c r="N68" s="166">
        <f>H68*LookupData!$AN$10</f>
        <v>62.73389423907188</v>
      </c>
      <c r="O68" s="167"/>
      <c r="P68" s="166">
        <f>(M68+N68*0.75)*LookupData!AN$7</f>
        <v>17.44682632724837</v>
      </c>
      <c r="Q68" s="168">
        <f t="shared" si="3"/>
        <v>187.79607564239416</v>
      </c>
      <c r="R68" s="140"/>
      <c r="U68" s="141">
        <f t="shared" si="4"/>
        <v>0.7</v>
      </c>
    </row>
    <row r="69" spans="1:21">
      <c r="A69" s="136"/>
      <c r="B69" s="149" t="s">
        <v>195</v>
      </c>
      <c r="C69" s="150" t="s">
        <v>196</v>
      </c>
      <c r="D69" s="152">
        <v>107.5</v>
      </c>
      <c r="E69" s="152">
        <v>57.9</v>
      </c>
      <c r="F69" s="151"/>
      <c r="G69" s="152">
        <f>(D69-LookupData!$AM$4*E69)/(LookupData!$AM$2-LookupData!$AM$4)</f>
        <v>26.688571428571432</v>
      </c>
      <c r="H69" s="152">
        <f t="shared" ref="H69:H75" si="9">E69-G69</f>
        <v>31.211428571428566</v>
      </c>
      <c r="I69" s="151"/>
      <c r="J69" s="152">
        <f>D69*LookupData!$AN$10</f>
        <v>339.13258200360349</v>
      </c>
      <c r="K69" s="152">
        <f>E69*LookupData!$AN$10</f>
        <v>182.65838602798738</v>
      </c>
      <c r="L69" s="154"/>
      <c r="M69" s="152">
        <f>G69*LookupData!$AN$10</f>
        <v>84.195015242409582</v>
      </c>
      <c r="N69" s="152">
        <f>H69*LookupData!$AN$10</f>
        <v>98.46337078557778</v>
      </c>
      <c r="O69" s="154"/>
      <c r="P69" s="152">
        <f>(M69+N69*0.75)*LookupData!AN$7</f>
        <v>14.682632724836711</v>
      </c>
      <c r="Q69" s="155">
        <f t="shared" si="3"/>
        <v>158.04254333159292</v>
      </c>
      <c r="R69" s="140"/>
      <c r="U69" s="141">
        <f t="shared" si="4"/>
        <v>0.47000000000000003</v>
      </c>
    </row>
    <row r="70" spans="1:21">
      <c r="A70" s="136"/>
      <c r="B70" s="156"/>
      <c r="C70" s="157" t="s">
        <v>197</v>
      </c>
      <c r="D70" s="159">
        <v>146.69999999999999</v>
      </c>
      <c r="E70" s="159">
        <v>63</v>
      </c>
      <c r="F70" s="158"/>
      <c r="G70" s="159">
        <f>(D70-LookupData!$AM$4*E70)/(LookupData!$AM$2-LookupData!$AM$4)</f>
        <v>46.028571428571425</v>
      </c>
      <c r="H70" s="159">
        <f t="shared" si="9"/>
        <v>16.971428571428575</v>
      </c>
      <c r="I70" s="158"/>
      <c r="J70" s="159">
        <f>D70*LookupData!$AN$10</f>
        <v>462.79767237142909</v>
      </c>
      <c r="K70" s="159">
        <f>E70*LookupData!$AN$10</f>
        <v>198.74746666257693</v>
      </c>
      <c r="L70" s="161"/>
      <c r="M70" s="159">
        <f>G70*LookupData!$AN$10</f>
        <v>145.20733278612764</v>
      </c>
      <c r="N70" s="159">
        <f>H70*LookupData!$AN$10</f>
        <v>53.54013387644931</v>
      </c>
      <c r="O70" s="161"/>
      <c r="P70" s="159">
        <f>(M70+N70*0.75)*LookupData!AN$7</f>
        <v>17.220733545469773</v>
      </c>
      <c r="Q70" s="162">
        <f t="shared" si="3"/>
        <v>185.36243319346462</v>
      </c>
      <c r="R70" s="140"/>
      <c r="U70" s="141">
        <f t="shared" si="4"/>
        <v>0.74</v>
      </c>
    </row>
    <row r="71" spans="1:21">
      <c r="A71" s="136"/>
      <c r="B71" s="156"/>
      <c r="C71" s="157" t="s">
        <v>198</v>
      </c>
      <c r="D71" s="159">
        <v>118.1</v>
      </c>
      <c r="E71" s="159">
        <v>59.6</v>
      </c>
      <c r="F71" s="158"/>
      <c r="G71" s="159">
        <f>(D71-LookupData!$AM$4*E71)/(LookupData!$AM$2-LookupData!$AM$4)</f>
        <v>31.725714285714282</v>
      </c>
      <c r="H71" s="159">
        <f t="shared" si="9"/>
        <v>27.874285714285719</v>
      </c>
      <c r="I71" s="158"/>
      <c r="J71" s="159">
        <f>D71*LookupData!$AN$10</f>
        <v>372.5726319500053</v>
      </c>
      <c r="K71" s="159">
        <f>E71*LookupData!$AN$10</f>
        <v>188.02141290618391</v>
      </c>
      <c r="L71" s="161"/>
      <c r="M71" s="159">
        <f>G71*LookupData!$AN$10</f>
        <v>100.08579908486414</v>
      </c>
      <c r="N71" s="159">
        <f>H71*LookupData!$AN$10</f>
        <v>87.935613821319762</v>
      </c>
      <c r="O71" s="161"/>
      <c r="P71" s="159">
        <f>(M71+N71*0.75)*LookupData!AN$7</f>
        <v>15.425389382013066</v>
      </c>
      <c r="Q71" s="162">
        <f t="shared" si="3"/>
        <v>166.03750945085397</v>
      </c>
      <c r="R71" s="140"/>
      <c r="U71" s="141">
        <f t="shared" si="4"/>
        <v>0.54</v>
      </c>
    </row>
    <row r="72" spans="1:21">
      <c r="A72" s="136"/>
      <c r="B72" s="156"/>
      <c r="C72" s="157" t="s">
        <v>256</v>
      </c>
      <c r="D72" s="159">
        <v>156.4</v>
      </c>
      <c r="E72" s="159">
        <v>69.900000000000006</v>
      </c>
      <c r="F72" s="158"/>
      <c r="G72" s="159">
        <f>(D72-LookupData!$AM$4*E72)/(LookupData!$AM$2-LookupData!$AM$4)</f>
        <v>47.431428571428576</v>
      </c>
      <c r="H72" s="159">
        <f t="shared" si="9"/>
        <v>22.46857142857143</v>
      </c>
      <c r="I72" s="158"/>
      <c r="J72" s="159">
        <f>D72*LookupData!$AN$10</f>
        <v>493.39847279407991</v>
      </c>
      <c r="K72" s="159">
        <f>E72*LookupData!$AN$10</f>
        <v>220.51504634466872</v>
      </c>
      <c r="L72" s="161"/>
      <c r="M72" s="159">
        <f>G72*LookupData!$AN$10</f>
        <v>149.63295664695872</v>
      </c>
      <c r="N72" s="159">
        <f>H72*LookupData!$AN$10</f>
        <v>70.882089697709986</v>
      </c>
      <c r="O72" s="161"/>
      <c r="P72" s="159">
        <f>(M72+N72*0.75)*LookupData!AN$7</f>
        <v>18.840227767543126</v>
      </c>
      <c r="Q72" s="162">
        <f t="shared" si="3"/>
        <v>202.7945239202412</v>
      </c>
      <c r="R72" s="140"/>
      <c r="U72" s="141">
        <f t="shared" si="4"/>
        <v>0.68</v>
      </c>
    </row>
    <row r="73" spans="1:21">
      <c r="A73" s="136"/>
      <c r="B73" s="156"/>
      <c r="C73" s="157" t="s">
        <v>257</v>
      </c>
      <c r="D73" s="159">
        <v>107.5</v>
      </c>
      <c r="E73" s="159">
        <v>57.9</v>
      </c>
      <c r="F73" s="158"/>
      <c r="G73" s="159">
        <f>(D73-LookupData!$AM$4*E73)/(LookupData!$AM$2-LookupData!$AM$4)</f>
        <v>26.688571428571432</v>
      </c>
      <c r="H73" s="159">
        <f t="shared" si="9"/>
        <v>31.211428571428566</v>
      </c>
      <c r="I73" s="158"/>
      <c r="J73" s="159">
        <f>D73*LookupData!$AN$10</f>
        <v>339.13258200360349</v>
      </c>
      <c r="K73" s="159">
        <f>E73*LookupData!$AN$10</f>
        <v>182.65838602798738</v>
      </c>
      <c r="L73" s="161"/>
      <c r="M73" s="159">
        <f>G73*LookupData!$AN$10</f>
        <v>84.195015242409582</v>
      </c>
      <c r="N73" s="159">
        <f>H73*LookupData!$AN$10</f>
        <v>98.46337078557778</v>
      </c>
      <c r="O73" s="161"/>
      <c r="P73" s="159">
        <f>(M73+N73*0.75)*LookupData!AN$7</f>
        <v>14.682632724836711</v>
      </c>
      <c r="Q73" s="162">
        <f t="shared" si="3"/>
        <v>158.04254333159292</v>
      </c>
      <c r="R73" s="140"/>
      <c r="U73" s="141">
        <f t="shared" si="4"/>
        <v>0.47000000000000003</v>
      </c>
    </row>
    <row r="74" spans="1:21">
      <c r="A74" s="136"/>
      <c r="B74" s="156"/>
      <c r="C74" s="157" t="s">
        <v>193</v>
      </c>
      <c r="D74" s="159">
        <v>213.2</v>
      </c>
      <c r="E74" s="159">
        <v>99</v>
      </c>
      <c r="F74" s="158"/>
      <c r="G74" s="159">
        <f>(D74-LookupData!$AM$4*E74)/(LookupData!$AM$2-LookupData!$AM$4)</f>
        <v>62.428571428571431</v>
      </c>
      <c r="H74" s="159">
        <f t="shared" si="9"/>
        <v>36.571428571428569</v>
      </c>
      <c r="I74" s="158"/>
      <c r="J74" s="159">
        <f>D74*LookupData!$AN$10</f>
        <v>672.58666495970476</v>
      </c>
      <c r="K74" s="159">
        <f>E74*LookupData!$AN$10</f>
        <v>312.31744761262092</v>
      </c>
      <c r="L74" s="161"/>
      <c r="M74" s="159">
        <f>G74*LookupData!$AN$10</f>
        <v>196.94476855225878</v>
      </c>
      <c r="N74" s="159">
        <f>H74*LookupData!$AN$10</f>
        <v>115.37267906036212</v>
      </c>
      <c r="O74" s="161"/>
      <c r="P74" s="159">
        <f>(M74+N74*0.75)*LookupData!AN$7</f>
        <v>26.335622173840232</v>
      </c>
      <c r="Q74" s="162">
        <f t="shared" si="3"/>
        <v>283.4742778475304</v>
      </c>
      <c r="R74" s="140"/>
      <c r="U74" s="141">
        <f t="shared" si="4"/>
        <v>0.64</v>
      </c>
    </row>
    <row r="75" spans="1:21">
      <c r="A75" s="136"/>
      <c r="B75" s="156"/>
      <c r="C75" s="157" t="s">
        <v>194</v>
      </c>
      <c r="D75" s="159">
        <v>213.2</v>
      </c>
      <c r="E75" s="159">
        <v>99</v>
      </c>
      <c r="F75" s="158"/>
      <c r="G75" s="159">
        <f>(D75-LookupData!$AM$4*E75)/(LookupData!$AM$2-LookupData!$AM$4)</f>
        <v>62.428571428571431</v>
      </c>
      <c r="H75" s="159">
        <f t="shared" si="9"/>
        <v>36.571428571428569</v>
      </c>
      <c r="I75" s="158"/>
      <c r="J75" s="159">
        <f>D75*LookupData!$AN$10</f>
        <v>672.58666495970476</v>
      </c>
      <c r="K75" s="159">
        <f>E75*LookupData!$AN$10</f>
        <v>312.31744761262092</v>
      </c>
      <c r="L75" s="161"/>
      <c r="M75" s="159">
        <f>G75*LookupData!$AN$10</f>
        <v>196.94476855225878</v>
      </c>
      <c r="N75" s="159">
        <f>H75*LookupData!$AN$10</f>
        <v>115.37267906036212</v>
      </c>
      <c r="O75" s="161"/>
      <c r="P75" s="159">
        <f>(M75+N75*0.75)*LookupData!AN$7</f>
        <v>26.335622173840232</v>
      </c>
      <c r="Q75" s="162">
        <f t="shared" si="3"/>
        <v>283.4742778475304</v>
      </c>
      <c r="R75" s="140"/>
      <c r="U75" s="141">
        <f t="shared" si="4"/>
        <v>0.64</v>
      </c>
    </row>
    <row r="76" spans="1:21">
      <c r="A76" s="136"/>
      <c r="B76" s="163"/>
      <c r="C76" s="164" t="s">
        <v>258</v>
      </c>
      <c r="D76" s="166">
        <v>143.6</v>
      </c>
      <c r="E76" s="166">
        <v>63.6</v>
      </c>
      <c r="F76" s="165"/>
      <c r="G76" s="166">
        <f>(D76-LookupData!$AM$4*E76)/(LookupData!$AM$2-LookupData!$AM$4)</f>
        <v>43.89714285714286</v>
      </c>
      <c r="H76" s="166">
        <f t="shared" ref="H76" si="10">E76-G76</f>
        <v>19.702857142857141</v>
      </c>
      <c r="I76" s="165"/>
      <c r="J76" s="166">
        <f>D76*LookupData!$AN$10</f>
        <v>453.01803512295311</v>
      </c>
      <c r="K76" s="166">
        <f>E76*LookupData!$AN$10</f>
        <v>200.640299678411</v>
      </c>
      <c r="L76" s="167"/>
      <c r="M76" s="166">
        <f>G76*LookupData!$AN$10</f>
        <v>138.48326883464091</v>
      </c>
      <c r="N76" s="166">
        <f>H76*LookupData!$AN$10</f>
        <v>62.157030843770087</v>
      </c>
      <c r="O76" s="167"/>
      <c r="P76" s="166">
        <f>(M76+N76*0.75)*LookupData!AN$7</f>
        <v>17.196449505945402</v>
      </c>
      <c r="Q76" s="168">
        <f t="shared" si="3"/>
        <v>185.10104196746846</v>
      </c>
      <c r="R76" s="140"/>
      <c r="U76" s="141">
        <f t="shared" si="4"/>
        <v>0.7</v>
      </c>
    </row>
    <row r="77" spans="1:21">
      <c r="A77" s="136"/>
      <c r="B77" s="149" t="s">
        <v>199</v>
      </c>
      <c r="C77" s="150" t="s">
        <v>192</v>
      </c>
      <c r="D77" s="152">
        <v>121.7</v>
      </c>
      <c r="E77" s="152">
        <v>51.2</v>
      </c>
      <c r="F77" s="151"/>
      <c r="G77" s="152">
        <f>(D77-LookupData!$AM$4*E77)/(LookupData!$AM$2-LookupData!$AM$4)</f>
        <v>38.822857142857146</v>
      </c>
      <c r="H77" s="152">
        <f t="shared" ref="H77:H79" si="11">E77-G77</f>
        <v>12.377142857142857</v>
      </c>
      <c r="I77" s="151"/>
      <c r="J77" s="152">
        <f>D77*LookupData!$AN$10</f>
        <v>383.92963004500973</v>
      </c>
      <c r="K77" s="152">
        <f>E77*LookupData!$AN$10</f>
        <v>161.52175068450697</v>
      </c>
      <c r="L77" s="154"/>
      <c r="M77" s="152">
        <f>G77*LookupData!$AN$10</f>
        <v>122.47530961501568</v>
      </c>
      <c r="N77" s="152">
        <f>H77*LookupData!$AN$10</f>
        <v>39.046441069491308</v>
      </c>
      <c r="O77" s="154"/>
      <c r="P77" s="152">
        <f>(M77+N77*0.75)*LookupData!AN$7</f>
        <v>14.098978395578632</v>
      </c>
      <c r="Q77" s="155">
        <f t="shared" si="3"/>
        <v>151.76014041713415</v>
      </c>
      <c r="R77" s="140"/>
      <c r="U77" s="141">
        <f t="shared" ref="U77:U85" si="12">ROUNDUP(M77/K77,2)</f>
        <v>0.76</v>
      </c>
    </row>
    <row r="78" spans="1:21">
      <c r="A78" s="136"/>
      <c r="B78" s="156"/>
      <c r="C78" s="157" t="s">
        <v>199</v>
      </c>
      <c r="D78" s="159">
        <v>116.4</v>
      </c>
      <c r="E78" s="159">
        <v>52.9</v>
      </c>
      <c r="F78" s="158"/>
      <c r="G78" s="159">
        <f>(D78-LookupData!$AM$4*E78)/(LookupData!$AM$2-LookupData!$AM$4)</f>
        <v>34.774285714285718</v>
      </c>
      <c r="H78" s="159">
        <f t="shared" si="11"/>
        <v>18.125714285714281</v>
      </c>
      <c r="I78" s="158"/>
      <c r="J78" s="159">
        <f>D78*LookupData!$AN$10</f>
        <v>367.20960507180882</v>
      </c>
      <c r="K78" s="159">
        <f>E78*LookupData!$AN$10</f>
        <v>166.88477756270348</v>
      </c>
      <c r="L78" s="161"/>
      <c r="M78" s="159">
        <f>G78*LookupData!$AN$10</f>
        <v>109.70319350341153</v>
      </c>
      <c r="N78" s="159">
        <f>H78*LookupData!$AN$10</f>
        <v>57.181584059291964</v>
      </c>
      <c r="O78" s="161"/>
      <c r="P78" s="159">
        <f>(M78+N78*0.75)*LookupData!AN$7</f>
        <v>14.176017417518004</v>
      </c>
      <c r="Q78" s="162">
        <f t="shared" si="3"/>
        <v>152.58938154788049</v>
      </c>
      <c r="R78" s="140"/>
      <c r="U78" s="141">
        <f t="shared" si="12"/>
        <v>0.66</v>
      </c>
    </row>
    <row r="79" spans="1:21">
      <c r="A79" s="136"/>
      <c r="B79" s="163"/>
      <c r="C79" s="164" t="s">
        <v>200</v>
      </c>
      <c r="D79" s="166">
        <v>145.80000000000001</v>
      </c>
      <c r="E79" s="166">
        <v>64.5</v>
      </c>
      <c r="F79" s="165"/>
      <c r="G79" s="166">
        <f>(D79-LookupData!$AM$4*E79)/(LookupData!$AM$2-LookupData!$AM$4)</f>
        <v>44.614285714285721</v>
      </c>
      <c r="H79" s="166">
        <f t="shared" si="11"/>
        <v>19.885714285714279</v>
      </c>
      <c r="I79" s="165"/>
      <c r="J79" s="166">
        <f>D79*LookupData!$AN$10</f>
        <v>459.95842284767809</v>
      </c>
      <c r="K79" s="166">
        <f>E79*LookupData!$AN$10</f>
        <v>203.4795492021621</v>
      </c>
      <c r="L79" s="167"/>
      <c r="M79" s="166">
        <f>G79*LookupData!$AN$10</f>
        <v>140.74565496309023</v>
      </c>
      <c r="N79" s="166">
        <f>H79*LookupData!$AN$10</f>
        <v>62.73389423907188</v>
      </c>
      <c r="O79" s="167"/>
      <c r="P79" s="166">
        <f>(M79+N79*0.75)*LookupData!AN$7</f>
        <v>17.44682632724837</v>
      </c>
      <c r="Q79" s="168">
        <f t="shared" si="3"/>
        <v>187.79607564239416</v>
      </c>
      <c r="R79" s="140"/>
      <c r="U79" s="141">
        <f t="shared" si="12"/>
        <v>0.7</v>
      </c>
    </row>
    <row r="80" spans="1:21">
      <c r="A80" s="136"/>
      <c r="B80" s="149" t="s">
        <v>201</v>
      </c>
      <c r="C80" s="150" t="s">
        <v>202</v>
      </c>
      <c r="D80" s="152">
        <v>211.4</v>
      </c>
      <c r="E80" s="152">
        <v>101.2</v>
      </c>
      <c r="F80" s="151"/>
      <c r="G80" s="152">
        <f>(D80-LookupData!$AM$4*E80)/(LookupData!$AM$2-LookupData!$AM$4)</f>
        <v>60.080000000000005</v>
      </c>
      <c r="H80" s="152">
        <f t="shared" ref="H80:H88" si="13">E80-G80</f>
        <v>41.12</v>
      </c>
      <c r="I80" s="151"/>
      <c r="J80" s="152">
        <f>D80*LookupData!$AN$10</f>
        <v>666.90816591220266</v>
      </c>
      <c r="K80" s="152">
        <f>E80*LookupData!$AN$10</f>
        <v>319.2578353373458</v>
      </c>
      <c r="L80" s="154"/>
      <c r="M80" s="152">
        <f>G80*LookupData!$AN$10</f>
        <v>189.53567931885115</v>
      </c>
      <c r="N80" s="152">
        <f>H80*LookupData!$AN$10</f>
        <v>129.72215601849464</v>
      </c>
      <c r="O80" s="154"/>
      <c r="P80" s="152">
        <f>(M80+N80*0.75)*LookupData!AN$7</f>
        <v>26.647127784290742</v>
      </c>
      <c r="Q80" s="155">
        <f t="shared" si="3"/>
        <v>286.82729633272214</v>
      </c>
      <c r="R80" s="140"/>
      <c r="U80" s="141">
        <f t="shared" si="12"/>
        <v>0.6</v>
      </c>
    </row>
    <row r="81" spans="1:21">
      <c r="A81" s="136"/>
      <c r="B81" s="156"/>
      <c r="C81" s="157" t="s">
        <v>203</v>
      </c>
      <c r="D81" s="159">
        <v>124.9</v>
      </c>
      <c r="E81" s="159">
        <v>63.5</v>
      </c>
      <c r="F81" s="158"/>
      <c r="G81" s="159">
        <f>(D81-LookupData!$AM$4*E81)/(LookupData!$AM$2-LookupData!$AM$4)</f>
        <v>33.271428571428579</v>
      </c>
      <c r="H81" s="159">
        <f t="shared" si="13"/>
        <v>30.228571428571421</v>
      </c>
      <c r="I81" s="158"/>
      <c r="J81" s="159">
        <f>D81*LookupData!$AN$10</f>
        <v>394.02473946279144</v>
      </c>
      <c r="K81" s="159">
        <f>E81*LookupData!$AN$10</f>
        <v>200.32482750910532</v>
      </c>
      <c r="L81" s="161"/>
      <c r="M81" s="159">
        <f>G81*LookupData!$AN$10</f>
        <v>104.96209747327478</v>
      </c>
      <c r="N81" s="159">
        <f>H81*LookupData!$AN$10</f>
        <v>95.362730035830538</v>
      </c>
      <c r="O81" s="161"/>
      <c r="P81" s="159">
        <f>(M81+N81*0.75)*LookupData!AN$7</f>
        <v>16.39591358231452</v>
      </c>
      <c r="Q81" s="162">
        <f t="shared" si="3"/>
        <v>176.48414500014769</v>
      </c>
      <c r="R81" s="140"/>
      <c r="U81" s="141">
        <f t="shared" si="12"/>
        <v>0.53</v>
      </c>
    </row>
    <row r="82" spans="1:21">
      <c r="A82" s="136"/>
      <c r="B82" s="156"/>
      <c r="C82" s="157" t="s">
        <v>204</v>
      </c>
      <c r="D82" s="159">
        <v>143.6</v>
      </c>
      <c r="E82" s="159">
        <v>71.599999999999994</v>
      </c>
      <c r="F82" s="158"/>
      <c r="G82" s="159">
        <f>(D82-LookupData!$AM$4*E82)/(LookupData!$AM$2-LookupData!$AM$4)</f>
        <v>39.097142857142863</v>
      </c>
      <c r="H82" s="159">
        <f t="shared" si="13"/>
        <v>32.502857142857131</v>
      </c>
      <c r="I82" s="158"/>
      <c r="J82" s="159">
        <f>D82*LookupData!$AN$10</f>
        <v>453.01803512295311</v>
      </c>
      <c r="K82" s="159">
        <f>E82*LookupData!$AN$10</f>
        <v>225.8780732228652</v>
      </c>
      <c r="L82" s="161"/>
      <c r="M82" s="159">
        <f>G82*LookupData!$AN$10</f>
        <v>123.3406047079684</v>
      </c>
      <c r="N82" s="159">
        <f>H82*LookupData!$AN$10</f>
        <v>102.5374685148968</v>
      </c>
      <c r="O82" s="161"/>
      <c r="P82" s="159">
        <f>(M82+N82*0.75)*LookupData!AN$7</f>
        <v>18.603249037012226</v>
      </c>
      <c r="Q82" s="162">
        <f t="shared" si="3"/>
        <v>200.243706094141</v>
      </c>
      <c r="R82" s="140"/>
      <c r="U82" s="141">
        <f t="shared" si="12"/>
        <v>0.55000000000000004</v>
      </c>
    </row>
    <row r="83" spans="1:21">
      <c r="A83" s="136"/>
      <c r="B83" s="156"/>
      <c r="C83" s="157" t="s">
        <v>259</v>
      </c>
      <c r="D83" s="159">
        <v>96.9</v>
      </c>
      <c r="E83" s="159">
        <v>47.9</v>
      </c>
      <c r="F83" s="158"/>
      <c r="G83" s="159">
        <f>(D83-LookupData!$AM$4*E83)/(LookupData!$AM$2-LookupData!$AM$4)</f>
        <v>26.631428571428579</v>
      </c>
      <c r="H83" s="159">
        <f t="shared" si="13"/>
        <v>21.26857142857142</v>
      </c>
      <c r="I83" s="158"/>
      <c r="J83" s="159">
        <f>D83*LookupData!$AN$10</f>
        <v>305.69253205720167</v>
      </c>
      <c r="K83" s="159">
        <f>E83*LookupData!$AN$10</f>
        <v>151.11116909741961</v>
      </c>
      <c r="L83" s="161"/>
      <c r="M83" s="159">
        <f>G83*LookupData!$AN$10</f>
        <v>84.01474543137779</v>
      </c>
      <c r="N83" s="159">
        <f>H83*LookupData!$AN$10</f>
        <v>67.096423666041815</v>
      </c>
      <c r="O83" s="161"/>
      <c r="P83" s="159">
        <f>(M83+N83*0.75)*LookupData!AN$7</f>
        <v>12.480321554178531</v>
      </c>
      <c r="Q83" s="162">
        <f t="shared" si="3"/>
        <v>134.33706318090915</v>
      </c>
      <c r="R83" s="140"/>
      <c r="U83" s="141">
        <f t="shared" si="12"/>
        <v>0.56000000000000005</v>
      </c>
    </row>
    <row r="84" spans="1:21">
      <c r="A84" s="136"/>
      <c r="B84" s="156"/>
      <c r="C84" s="157" t="s">
        <v>205</v>
      </c>
      <c r="D84" s="159">
        <v>124.9</v>
      </c>
      <c r="E84" s="159">
        <v>63.5</v>
      </c>
      <c r="F84" s="158"/>
      <c r="G84" s="159">
        <f>(D84-LookupData!$AM$4*E84)/(LookupData!$AM$2-LookupData!$AM$4)</f>
        <v>33.271428571428579</v>
      </c>
      <c r="H84" s="159">
        <f t="shared" si="13"/>
        <v>30.228571428571421</v>
      </c>
      <c r="I84" s="158"/>
      <c r="J84" s="159">
        <f>D84*LookupData!$AN$10</f>
        <v>394.02473946279144</v>
      </c>
      <c r="K84" s="159">
        <f>E84*LookupData!$AN$10</f>
        <v>200.32482750910532</v>
      </c>
      <c r="L84" s="161"/>
      <c r="M84" s="159">
        <f>G84*LookupData!$AN$10</f>
        <v>104.96209747327478</v>
      </c>
      <c r="N84" s="159">
        <f>H84*LookupData!$AN$10</f>
        <v>95.362730035830538</v>
      </c>
      <c r="O84" s="161"/>
      <c r="P84" s="159">
        <f>(M84+N84*0.75)*LookupData!AN$7</f>
        <v>16.39591358231452</v>
      </c>
      <c r="Q84" s="162">
        <f t="shared" si="3"/>
        <v>176.48414500014769</v>
      </c>
      <c r="R84" s="140"/>
      <c r="U84" s="141">
        <f t="shared" si="12"/>
        <v>0.53</v>
      </c>
    </row>
    <row r="85" spans="1:21">
      <c r="A85" s="136"/>
      <c r="B85" s="156"/>
      <c r="C85" s="157" t="s">
        <v>260</v>
      </c>
      <c r="D85" s="159">
        <v>156.4</v>
      </c>
      <c r="E85" s="159">
        <v>69.900000000000006</v>
      </c>
      <c r="F85" s="158"/>
      <c r="G85" s="159">
        <f>(D85-LookupData!$AM$4*E85)/(LookupData!$AM$2-LookupData!$AM$4)</f>
        <v>47.431428571428576</v>
      </c>
      <c r="H85" s="159">
        <f t="shared" si="13"/>
        <v>22.46857142857143</v>
      </c>
      <c r="I85" s="158"/>
      <c r="J85" s="159">
        <f>D85*LookupData!$AN$10</f>
        <v>493.39847279407991</v>
      </c>
      <c r="K85" s="159">
        <f>E85*LookupData!$AN$10</f>
        <v>220.51504634466872</v>
      </c>
      <c r="L85" s="161"/>
      <c r="M85" s="159">
        <f>G85*LookupData!$AN$10</f>
        <v>149.63295664695872</v>
      </c>
      <c r="N85" s="159">
        <f>H85*LookupData!$AN$10</f>
        <v>70.882089697709986</v>
      </c>
      <c r="O85" s="161"/>
      <c r="P85" s="159">
        <f>(M85+N85*0.75)*LookupData!AN$7</f>
        <v>18.840227767543126</v>
      </c>
      <c r="Q85" s="162">
        <f t="shared" si="3"/>
        <v>202.7945239202412</v>
      </c>
      <c r="R85" s="140"/>
      <c r="U85" s="141">
        <f t="shared" si="12"/>
        <v>0.68</v>
      </c>
    </row>
    <row r="86" spans="1:21">
      <c r="A86" s="136"/>
      <c r="B86" s="156"/>
      <c r="C86" s="157" t="s">
        <v>248</v>
      </c>
      <c r="D86" s="159">
        <v>109.6</v>
      </c>
      <c r="E86" s="159">
        <v>56.1</v>
      </c>
      <c r="F86" s="158"/>
      <c r="G86" s="159">
        <f>(D86-LookupData!$AM$4*E86)/(LookupData!$AM$2-LookupData!$AM$4)</f>
        <v>28.96857142857143</v>
      </c>
      <c r="H86" s="159">
        <f t="shared" si="13"/>
        <v>27.131428571428572</v>
      </c>
      <c r="I86" s="158"/>
      <c r="J86" s="159">
        <f>D86*LookupData!$AN$10</f>
        <v>345.75749755902274</v>
      </c>
      <c r="K86" s="159">
        <f>E86*LookupData!$AN$10</f>
        <v>176.97988698048519</v>
      </c>
      <c r="L86" s="161"/>
      <c r="M86" s="159">
        <f>G86*LookupData!$AN$10</f>
        <v>91.387780702579036</v>
      </c>
      <c r="N86" s="159">
        <f>H86*LookupData!$AN$10</f>
        <v>85.592106277906154</v>
      </c>
      <c r="O86" s="161"/>
      <c r="P86" s="159">
        <f>(M86+N86*0.75)*LookupData!AN$7</f>
        <v>14.454027801038354</v>
      </c>
      <c r="Q86" s="162">
        <f t="shared" ref="Q86:Q110" si="14">(M86+N86*0.75)</f>
        <v>155.58186041100865</v>
      </c>
      <c r="R86" s="140"/>
      <c r="U86" s="141">
        <f t="shared" ref="U86:U110" si="15">ROUNDUP(M86/K86,2)</f>
        <v>0.52</v>
      </c>
    </row>
    <row r="87" spans="1:21" ht="30">
      <c r="A87" s="136"/>
      <c r="B87" s="156"/>
      <c r="C87" s="157" t="s">
        <v>261</v>
      </c>
      <c r="D87" s="159">
        <v>112</v>
      </c>
      <c r="E87" s="159">
        <v>56.2</v>
      </c>
      <c r="F87" s="158"/>
      <c r="G87" s="159">
        <f>(D87-LookupData!$AM$4*E87)/(LookupData!$AM$2-LookupData!$AM$4)</f>
        <v>30.28</v>
      </c>
      <c r="H87" s="159">
        <f t="shared" si="13"/>
        <v>25.92</v>
      </c>
      <c r="I87" s="158"/>
      <c r="J87" s="159">
        <f>D87*LookupData!$AN$10</f>
        <v>353.32882962235897</v>
      </c>
      <c r="K87" s="159">
        <f>E87*LookupData!$AN$10</f>
        <v>177.29535914979087</v>
      </c>
      <c r="L87" s="161"/>
      <c r="M87" s="159">
        <f>G87*LookupData!$AN$10</f>
        <v>95.52497286575921</v>
      </c>
      <c r="N87" s="159">
        <f>H87*LookupData!$AN$10</f>
        <v>81.770386284031659</v>
      </c>
      <c r="O87" s="161"/>
      <c r="P87" s="159">
        <f>(M87+N87*0.75)*LookupData!AN$7</f>
        <v>14.572098475967179</v>
      </c>
      <c r="Q87" s="162">
        <f t="shared" si="14"/>
        <v>156.85276257878297</v>
      </c>
      <c r="R87" s="140"/>
      <c r="U87" s="141">
        <f t="shared" si="15"/>
        <v>0.54</v>
      </c>
    </row>
    <row r="88" spans="1:21">
      <c r="A88" s="136"/>
      <c r="B88" s="163"/>
      <c r="C88" s="164" t="s">
        <v>206</v>
      </c>
      <c r="D88" s="166">
        <v>89.3</v>
      </c>
      <c r="E88" s="166">
        <v>40.1</v>
      </c>
      <c r="F88" s="165"/>
      <c r="G88" s="166">
        <f>(D88-LookupData!$AM$4*E88)/(LookupData!$AM$2-LookupData!$AM$4)</f>
        <v>26.96857142857143</v>
      </c>
      <c r="H88" s="166">
        <f t="shared" si="13"/>
        <v>13.131428571428572</v>
      </c>
      <c r="I88" s="165"/>
      <c r="J88" s="166">
        <f>D88*LookupData!$AN$10</f>
        <v>281.71664718997016</v>
      </c>
      <c r="K88" s="166">
        <f>E88*LookupData!$AN$10</f>
        <v>126.50433989157675</v>
      </c>
      <c r="L88" s="167"/>
      <c r="M88" s="166">
        <f>G88*LookupData!$AN$10</f>
        <v>85.078337316465479</v>
      </c>
      <c r="N88" s="166">
        <f>H88*LookupData!$AN$10</f>
        <v>41.426002575111276</v>
      </c>
      <c r="O88" s="167"/>
      <c r="P88" s="166">
        <f>(M88+N88*0.75)*LookupData!AN$7</f>
        <v>10.790487355551836</v>
      </c>
      <c r="Q88" s="168">
        <f t="shared" si="14"/>
        <v>116.14783924779894</v>
      </c>
      <c r="R88" s="140"/>
      <c r="U88" s="141">
        <f t="shared" si="15"/>
        <v>0.68</v>
      </c>
    </row>
    <row r="89" spans="1:21">
      <c r="A89" s="136"/>
      <c r="B89" s="189" t="s">
        <v>207</v>
      </c>
      <c r="C89" s="190" t="s">
        <v>208</v>
      </c>
      <c r="D89" s="191">
        <v>58.4</v>
      </c>
      <c r="E89" s="191">
        <v>30.5</v>
      </c>
      <c r="F89" s="192"/>
      <c r="G89" s="191">
        <f>(D89-LookupData!$AM$4*E89)/(LookupData!$AM$2-LookupData!$AM$4)</f>
        <v>15.071428571428573</v>
      </c>
      <c r="H89" s="191">
        <f t="shared" ref="H89" si="16">E89-G89</f>
        <v>15.428571428571427</v>
      </c>
      <c r="I89" s="192"/>
      <c r="J89" s="191">
        <f>D89*LookupData!$AN$10</f>
        <v>184.23574687451577</v>
      </c>
      <c r="K89" s="191">
        <f>E89*LookupData!$AN$10</f>
        <v>96.219011638231692</v>
      </c>
      <c r="L89" s="193"/>
      <c r="M89" s="191">
        <f>G89*LookupData!$AN$10</f>
        <v>47.546162659641425</v>
      </c>
      <c r="N89" s="191">
        <f>H89*LookupData!$AN$10</f>
        <v>48.672848978590267</v>
      </c>
      <c r="O89" s="193"/>
      <c r="P89" s="191">
        <f>(M89+N89*0.75)*LookupData!AN$7</f>
        <v>7.8085747780941226</v>
      </c>
      <c r="Q89" s="194">
        <f t="shared" si="14"/>
        <v>84.050799393584128</v>
      </c>
      <c r="R89" s="140"/>
      <c r="U89" s="141">
        <f t="shared" si="15"/>
        <v>0.5</v>
      </c>
    </row>
    <row r="90" spans="1:21">
      <c r="A90" s="136"/>
      <c r="B90" s="149" t="s">
        <v>209</v>
      </c>
      <c r="C90" s="150" t="s">
        <v>210</v>
      </c>
      <c r="D90" s="152">
        <v>124.1</v>
      </c>
      <c r="E90" s="152">
        <v>55</v>
      </c>
      <c r="F90" s="151"/>
      <c r="G90" s="152">
        <f>(D90-LookupData!$AM$4*E90)/(LookupData!$AM$2-LookupData!$AM$4)</f>
        <v>37.914285714285718</v>
      </c>
      <c r="H90" s="152">
        <f t="shared" ref="H90:H103" si="17">E90-G90</f>
        <v>17.085714285714282</v>
      </c>
      <c r="I90" s="151"/>
      <c r="J90" s="152">
        <f>D90*LookupData!$AN$10</f>
        <v>391.50096210834596</v>
      </c>
      <c r="K90" s="152">
        <f>E90*LookupData!$AN$10</f>
        <v>173.50969311812273</v>
      </c>
      <c r="L90" s="154"/>
      <c r="M90" s="152">
        <f>G90*LookupData!$AN$10</f>
        <v>119.60901961960981</v>
      </c>
      <c r="N90" s="152">
        <f>H90*LookupData!$AN$10</f>
        <v>53.900673498512916</v>
      </c>
      <c r="O90" s="154"/>
      <c r="P90" s="152">
        <f>(M90+N90*0.75)*LookupData!AN$7</f>
        <v>14.867693853625861</v>
      </c>
      <c r="Q90" s="155">
        <f t="shared" si="14"/>
        <v>160.0345247434945</v>
      </c>
      <c r="R90" s="140"/>
      <c r="U90" s="141">
        <f t="shared" si="15"/>
        <v>0.69000000000000006</v>
      </c>
    </row>
    <row r="91" spans="1:21">
      <c r="A91" s="136"/>
      <c r="B91" s="156"/>
      <c r="C91" s="157" t="s">
        <v>185</v>
      </c>
      <c r="D91" s="159">
        <v>592.6</v>
      </c>
      <c r="E91" s="159">
        <v>231.4</v>
      </c>
      <c r="F91" s="158"/>
      <c r="G91" s="159">
        <f>(D91-LookupData!$AM$4*E91)/(LookupData!$AM$2-LookupData!$AM$4)</f>
        <v>199.78857142857146</v>
      </c>
      <c r="H91" s="159">
        <f t="shared" si="17"/>
        <v>31.611428571428547</v>
      </c>
      <c r="I91" s="158"/>
      <c r="J91" s="159">
        <f>D91*LookupData!$AN$10</f>
        <v>1869.488075305446</v>
      </c>
      <c r="K91" s="159">
        <f>E91*LookupData!$AN$10</f>
        <v>730.00259977333815</v>
      </c>
      <c r="L91" s="161"/>
      <c r="M91" s="159">
        <f>G91*LookupData!$AN$10</f>
        <v>630.27734031053774</v>
      </c>
      <c r="N91" s="159">
        <f>H91*LookupData!$AN$10</f>
        <v>99.725259462800437</v>
      </c>
      <c r="O91" s="161"/>
      <c r="P91" s="159">
        <f>(M91+N91*0.75)*LookupData!AN$7</f>
        <v>65.503265784625697</v>
      </c>
      <c r="Q91" s="162">
        <f t="shared" si="14"/>
        <v>705.07128490763807</v>
      </c>
      <c r="R91" s="140"/>
      <c r="U91" s="141">
        <f t="shared" si="15"/>
        <v>0.87</v>
      </c>
    </row>
    <row r="92" spans="1:21">
      <c r="A92" s="136"/>
      <c r="B92" s="156"/>
      <c r="C92" s="157" t="s">
        <v>211</v>
      </c>
      <c r="D92" s="159">
        <v>170.7</v>
      </c>
      <c r="E92" s="159">
        <v>65.7</v>
      </c>
      <c r="F92" s="158"/>
      <c r="G92" s="159">
        <f>(D92-LookupData!$AM$4*E92)/(LookupData!$AM$2-LookupData!$AM$4)</f>
        <v>58.122857142857143</v>
      </c>
      <c r="H92" s="159">
        <f t="shared" si="17"/>
        <v>7.5771428571428601</v>
      </c>
      <c r="I92" s="158"/>
      <c r="J92" s="159">
        <f>D92*LookupData!$AN$10</f>
        <v>538.51099300479177</v>
      </c>
      <c r="K92" s="159">
        <f>E92*LookupData!$AN$10</f>
        <v>207.26521523383025</v>
      </c>
      <c r="L92" s="161"/>
      <c r="M92" s="159">
        <f>G92*LookupData!$AN$10</f>
        <v>183.36143829101147</v>
      </c>
      <c r="N92" s="159">
        <f>H92*LookupData!$AN$10</f>
        <v>23.903776942818787</v>
      </c>
      <c r="O92" s="161"/>
      <c r="P92" s="159">
        <f>(M92+N92*0.75)*LookupData!AN$7</f>
        <v>18.7003851951097</v>
      </c>
      <c r="Q92" s="162">
        <f t="shared" si="14"/>
        <v>201.28927099812557</v>
      </c>
      <c r="R92" s="140"/>
      <c r="U92" s="141">
        <f t="shared" si="15"/>
        <v>0.89</v>
      </c>
    </row>
    <row r="93" spans="1:21">
      <c r="A93" s="136"/>
      <c r="B93" s="156"/>
      <c r="C93" s="157" t="s">
        <v>212</v>
      </c>
      <c r="D93" s="159">
        <v>228.8</v>
      </c>
      <c r="E93" s="159">
        <v>103.5</v>
      </c>
      <c r="F93" s="158"/>
      <c r="G93" s="159">
        <f>(D93-LookupData!$AM$4*E93)/(LookupData!$AM$2-LookupData!$AM$4)</f>
        <v>68.642857142857153</v>
      </c>
      <c r="H93" s="159">
        <f t="shared" si="17"/>
        <v>34.857142857142847</v>
      </c>
      <c r="I93" s="158"/>
      <c r="J93" s="159">
        <f>D93*LookupData!$AN$10</f>
        <v>721.8003233713905</v>
      </c>
      <c r="K93" s="159">
        <f>E93*LookupData!$AN$10</f>
        <v>326.5136952313764</v>
      </c>
      <c r="L93" s="161"/>
      <c r="M93" s="159">
        <f>G93*LookupData!$AN$10</f>
        <v>216.54911050196878</v>
      </c>
      <c r="N93" s="159">
        <f>H93*LookupData!$AN$10</f>
        <v>109.96458472940762</v>
      </c>
      <c r="O93" s="161"/>
      <c r="P93" s="159">
        <f>(M93+N93*0.75)*LookupData!AN$7</f>
        <v>27.780103835203487</v>
      </c>
      <c r="Q93" s="162">
        <f t="shared" si="14"/>
        <v>299.02254904902452</v>
      </c>
      <c r="R93" s="140"/>
      <c r="U93" s="141">
        <f t="shared" si="15"/>
        <v>0.67</v>
      </c>
    </row>
    <row r="94" spans="1:21">
      <c r="A94" s="136"/>
      <c r="B94" s="156"/>
      <c r="C94" s="157" t="s">
        <v>213</v>
      </c>
      <c r="D94" s="159">
        <v>228.8</v>
      </c>
      <c r="E94" s="159">
        <v>103.5</v>
      </c>
      <c r="F94" s="158"/>
      <c r="G94" s="159">
        <f>(D94-LookupData!$AM$4*E94)/(LookupData!$AM$2-LookupData!$AM$4)</f>
        <v>68.642857142857153</v>
      </c>
      <c r="H94" s="159">
        <f t="shared" si="17"/>
        <v>34.857142857142847</v>
      </c>
      <c r="I94" s="158"/>
      <c r="J94" s="159">
        <f>D94*LookupData!$AN$10</f>
        <v>721.8003233713905</v>
      </c>
      <c r="K94" s="159">
        <f>E94*LookupData!$AN$10</f>
        <v>326.5136952313764</v>
      </c>
      <c r="L94" s="161"/>
      <c r="M94" s="159">
        <f>G94*LookupData!$AN$10</f>
        <v>216.54911050196878</v>
      </c>
      <c r="N94" s="159">
        <f>H94*LookupData!$AN$10</f>
        <v>109.96458472940762</v>
      </c>
      <c r="O94" s="161"/>
      <c r="P94" s="159">
        <f>(M94+N94*0.75)*LookupData!AN$7</f>
        <v>27.780103835203487</v>
      </c>
      <c r="Q94" s="162">
        <f t="shared" si="14"/>
        <v>299.02254904902452</v>
      </c>
      <c r="R94" s="140"/>
      <c r="U94" s="141">
        <f t="shared" si="15"/>
        <v>0.67</v>
      </c>
    </row>
    <row r="95" spans="1:21">
      <c r="A95" s="136"/>
      <c r="B95" s="156"/>
      <c r="C95" s="157" t="s">
        <v>214</v>
      </c>
      <c r="D95" s="159">
        <v>225.3</v>
      </c>
      <c r="E95" s="159">
        <v>101.6</v>
      </c>
      <c r="F95" s="158"/>
      <c r="G95" s="159">
        <f>(D95-LookupData!$AM$4*E95)/(LookupData!$AM$2-LookupData!$AM$4)</f>
        <v>67.782857142857168</v>
      </c>
      <c r="H95" s="159">
        <f t="shared" si="17"/>
        <v>33.817142857142827</v>
      </c>
      <c r="I95" s="158"/>
      <c r="J95" s="159">
        <f>D95*LookupData!$AN$10</f>
        <v>710.75879744569181</v>
      </c>
      <c r="K95" s="159">
        <f>E95*LookupData!$AN$10</f>
        <v>320.51972401456851</v>
      </c>
      <c r="L95" s="161"/>
      <c r="M95" s="159">
        <f>G95*LookupData!$AN$10</f>
        <v>213.83604984594001</v>
      </c>
      <c r="N95" s="159">
        <f>H95*LookupData!$AN$10</f>
        <v>106.6836741686285</v>
      </c>
      <c r="O95" s="161"/>
      <c r="P95" s="159">
        <f>(M95+N95*0.75)*LookupData!AN$7</f>
        <v>27.299447328755658</v>
      </c>
      <c r="Q95" s="162">
        <f t="shared" si="14"/>
        <v>293.84880547241141</v>
      </c>
      <c r="R95" s="140"/>
      <c r="U95" s="141">
        <f t="shared" si="15"/>
        <v>0.67</v>
      </c>
    </row>
    <row r="96" spans="1:21">
      <c r="A96" s="136"/>
      <c r="B96" s="156"/>
      <c r="C96" s="157" t="s">
        <v>215</v>
      </c>
      <c r="D96" s="159">
        <v>120</v>
      </c>
      <c r="E96" s="159">
        <v>51.4</v>
      </c>
      <c r="F96" s="158"/>
      <c r="G96" s="159">
        <f>(D96-LookupData!$AM$4*E96)/(LookupData!$AM$2-LookupData!$AM$4)</f>
        <v>37.73142857142858</v>
      </c>
      <c r="H96" s="159">
        <f t="shared" si="17"/>
        <v>13.668571428571418</v>
      </c>
      <c r="I96" s="158"/>
      <c r="J96" s="159">
        <f>D96*LookupData!$AN$10</f>
        <v>378.5666031668132</v>
      </c>
      <c r="K96" s="159">
        <f>E96*LookupData!$AN$10</f>
        <v>162.15269502311833</v>
      </c>
      <c r="L96" s="161"/>
      <c r="M96" s="159">
        <f>G96*LookupData!$AN$10</f>
        <v>119.03215622430801</v>
      </c>
      <c r="N96" s="159">
        <f>H96*LookupData!$AN$10</f>
        <v>43.120538798810308</v>
      </c>
      <c r="O96" s="161"/>
      <c r="P96" s="159">
        <f>(M96+N96*0.75)*LookupData!AN$7</f>
        <v>14.062971026628706</v>
      </c>
      <c r="Q96" s="162">
        <f t="shared" si="14"/>
        <v>151.37256032341574</v>
      </c>
      <c r="R96" s="140"/>
      <c r="U96" s="141">
        <f t="shared" si="15"/>
        <v>0.74</v>
      </c>
    </row>
    <row r="97" spans="1:21">
      <c r="A97" s="136"/>
      <c r="B97" s="156"/>
      <c r="C97" s="157" t="s">
        <v>252</v>
      </c>
      <c r="D97" s="159">
        <v>444</v>
      </c>
      <c r="E97" s="159">
        <v>196</v>
      </c>
      <c r="F97" s="158"/>
      <c r="G97" s="159">
        <f>(D97-LookupData!$AM$4*E97)/(LookupData!$AM$2-LookupData!$AM$4)</f>
        <v>136.11428571428573</v>
      </c>
      <c r="H97" s="159">
        <f t="shared" si="17"/>
        <v>59.885714285714272</v>
      </c>
      <c r="I97" s="158"/>
      <c r="J97" s="159">
        <f>D97*LookupData!$AN$10</f>
        <v>1400.696431717209</v>
      </c>
      <c r="K97" s="159">
        <f>E97*LookupData!$AN$10</f>
        <v>618.32545183912828</v>
      </c>
      <c r="L97" s="161"/>
      <c r="M97" s="159">
        <f>G97*LookupData!$AN$10</f>
        <v>429.40268987778529</v>
      </c>
      <c r="N97" s="159">
        <f>H97*LookupData!$AN$10</f>
        <v>188.92276196134293</v>
      </c>
      <c r="O97" s="161"/>
      <c r="P97" s="159">
        <f>(M97+N97*0.75)*LookupData!AN$7</f>
        <v>53.056439457377323</v>
      </c>
      <c r="Q97" s="162">
        <f t="shared" si="14"/>
        <v>571.09476134879242</v>
      </c>
      <c r="R97" s="140"/>
      <c r="U97" s="141">
        <f t="shared" si="15"/>
        <v>0.7</v>
      </c>
    </row>
    <row r="98" spans="1:21" ht="13.5" customHeight="1">
      <c r="A98" s="136"/>
      <c r="B98" s="163"/>
      <c r="C98" s="164" t="s">
        <v>253</v>
      </c>
      <c r="D98" s="166">
        <v>120</v>
      </c>
      <c r="E98" s="166">
        <v>51.4</v>
      </c>
      <c r="F98" s="165"/>
      <c r="G98" s="166">
        <f>(D98-LookupData!$AM$4*E98)/(LookupData!$AM$2-LookupData!$AM$4)</f>
        <v>37.73142857142858</v>
      </c>
      <c r="H98" s="166">
        <f t="shared" si="17"/>
        <v>13.668571428571418</v>
      </c>
      <c r="I98" s="165"/>
      <c r="J98" s="166">
        <f>D98*LookupData!$AN$10</f>
        <v>378.5666031668132</v>
      </c>
      <c r="K98" s="166">
        <f>E98*LookupData!$AN$10</f>
        <v>162.15269502311833</v>
      </c>
      <c r="L98" s="167"/>
      <c r="M98" s="166">
        <f>G98*LookupData!$AN$10</f>
        <v>119.03215622430801</v>
      </c>
      <c r="N98" s="166">
        <f>H98*LookupData!$AN$10</f>
        <v>43.120538798810308</v>
      </c>
      <c r="O98" s="167"/>
      <c r="P98" s="166">
        <f>(M98+N98*0.75)*LookupData!AN$7</f>
        <v>14.062971026628706</v>
      </c>
      <c r="Q98" s="168">
        <f t="shared" si="14"/>
        <v>151.37256032341574</v>
      </c>
      <c r="R98" s="140"/>
      <c r="U98" s="141">
        <f t="shared" si="15"/>
        <v>0.74</v>
      </c>
    </row>
    <row r="99" spans="1:21">
      <c r="A99" s="136"/>
      <c r="B99" s="149" t="s">
        <v>216</v>
      </c>
      <c r="C99" s="157" t="s">
        <v>217</v>
      </c>
      <c r="D99" s="159">
        <v>318.2</v>
      </c>
      <c r="E99" s="159">
        <v>115.3</v>
      </c>
      <c r="F99" s="158"/>
      <c r="G99" s="159">
        <f>(D99-LookupData!$AM$4*E99)/(LookupData!$AM$2-LookupData!$AM$4)</f>
        <v>112.64857142857144</v>
      </c>
      <c r="H99" s="159">
        <f t="shared" si="17"/>
        <v>2.6514285714285535</v>
      </c>
      <c r="I99" s="158"/>
      <c r="J99" s="159">
        <f>D99*LookupData!$AN$10</f>
        <v>1003.8324427306663</v>
      </c>
      <c r="K99" s="159">
        <f>E99*LookupData!$AN$10</f>
        <v>363.73941120944636</v>
      </c>
      <c r="L99" s="161"/>
      <c r="M99" s="159">
        <f>G99*LookupData!$AN$10</f>
        <v>355.37489197757014</v>
      </c>
      <c r="N99" s="159">
        <f>H99*LookupData!$AN$10</f>
        <v>8.3645192318761978</v>
      </c>
      <c r="O99" s="161"/>
      <c r="P99" s="159">
        <f>(M99+N99*0.75)*LookupData!AN$7</f>
        <v>33.598224752972705</v>
      </c>
      <c r="Q99" s="162">
        <f t="shared" ref="Q99:Q103" si="18">(M99+N99*0.75)</f>
        <v>361.64828140147728</v>
      </c>
      <c r="R99" s="140"/>
      <c r="U99" s="141"/>
    </row>
    <row r="100" spans="1:21">
      <c r="A100" s="136"/>
      <c r="B100" s="156"/>
      <c r="C100" s="164" t="s">
        <v>218</v>
      </c>
      <c r="D100" s="166">
        <v>89.3</v>
      </c>
      <c r="E100" s="166">
        <v>40.1</v>
      </c>
      <c r="F100" s="165"/>
      <c r="G100" s="166">
        <f>(D100-LookupData!$AM$4*E100)/(LookupData!$AM$2-LookupData!$AM$4)</f>
        <v>26.96857142857143</v>
      </c>
      <c r="H100" s="166">
        <f t="shared" si="17"/>
        <v>13.131428571428572</v>
      </c>
      <c r="I100" s="165"/>
      <c r="J100" s="166">
        <f>D100*LookupData!$AN$10</f>
        <v>281.71664718997016</v>
      </c>
      <c r="K100" s="166">
        <f>E100*LookupData!$AN$10</f>
        <v>126.50433989157675</v>
      </c>
      <c r="L100" s="167"/>
      <c r="M100" s="166">
        <f>G100*LookupData!$AN$10</f>
        <v>85.078337316465479</v>
      </c>
      <c r="N100" s="166">
        <f>H100*LookupData!$AN$10</f>
        <v>41.426002575111276</v>
      </c>
      <c r="O100" s="167"/>
      <c r="P100" s="166">
        <f>(M100+N100*0.75)*LookupData!AN$7</f>
        <v>10.790487355551836</v>
      </c>
      <c r="Q100" s="168">
        <f t="shared" si="18"/>
        <v>116.14783924779894</v>
      </c>
      <c r="R100" s="140"/>
      <c r="U100" s="141">
        <f t="shared" si="15"/>
        <v>0.68</v>
      </c>
    </row>
    <row r="101" spans="1:21" ht="45">
      <c r="A101" s="136"/>
      <c r="B101" s="149" t="s">
        <v>219</v>
      </c>
      <c r="C101" s="157" t="s">
        <v>244</v>
      </c>
      <c r="D101" s="159">
        <v>96.9</v>
      </c>
      <c r="E101" s="159">
        <v>47.9</v>
      </c>
      <c r="F101" s="158"/>
      <c r="G101" s="159">
        <f>(D101-LookupData!$AM$4*E101)/(LookupData!$AM$2-LookupData!$AM$4)</f>
        <v>26.631428571428579</v>
      </c>
      <c r="H101" s="159">
        <f t="shared" si="17"/>
        <v>21.26857142857142</v>
      </c>
      <c r="I101" s="158"/>
      <c r="J101" s="159">
        <f>D101*LookupData!$AN$10</f>
        <v>305.69253205720167</v>
      </c>
      <c r="K101" s="159">
        <f>E101*LookupData!$AN$10</f>
        <v>151.11116909741961</v>
      </c>
      <c r="L101" s="161"/>
      <c r="M101" s="159">
        <f>G101*LookupData!$AN$10</f>
        <v>84.01474543137779</v>
      </c>
      <c r="N101" s="159">
        <f>H101*LookupData!$AN$10</f>
        <v>67.096423666041815</v>
      </c>
      <c r="O101" s="161"/>
      <c r="P101" s="159">
        <f>(M101+N101*0.75)*LookupData!AN$7</f>
        <v>12.480321554178531</v>
      </c>
      <c r="Q101" s="162">
        <f t="shared" si="18"/>
        <v>134.33706318090915</v>
      </c>
      <c r="R101" s="140"/>
      <c r="U101" s="141"/>
    </row>
    <row r="102" spans="1:21" ht="30">
      <c r="A102" s="136"/>
      <c r="B102" s="156"/>
      <c r="C102" s="157" t="s">
        <v>245</v>
      </c>
      <c r="D102" s="159">
        <v>96.9</v>
      </c>
      <c r="E102" s="159">
        <v>47.9</v>
      </c>
      <c r="F102" s="158"/>
      <c r="G102" s="159">
        <f>(D102-LookupData!$AM$4*E102)/(LookupData!$AM$2-LookupData!$AM$4)</f>
        <v>26.631428571428579</v>
      </c>
      <c r="H102" s="159">
        <f t="shared" si="17"/>
        <v>21.26857142857142</v>
      </c>
      <c r="I102" s="158"/>
      <c r="J102" s="159">
        <f>D102*LookupData!$AN$10</f>
        <v>305.69253205720167</v>
      </c>
      <c r="K102" s="159">
        <f>E102*LookupData!$AN$10</f>
        <v>151.11116909741961</v>
      </c>
      <c r="L102" s="161"/>
      <c r="M102" s="159">
        <f>G102*LookupData!$AN$10</f>
        <v>84.01474543137779</v>
      </c>
      <c r="N102" s="159">
        <f>H102*LookupData!$AN$10</f>
        <v>67.096423666041815</v>
      </c>
      <c r="O102" s="161"/>
      <c r="P102" s="159">
        <f>(M102+N102*0.75)*LookupData!AN$7</f>
        <v>12.480321554178531</v>
      </c>
      <c r="Q102" s="162">
        <f t="shared" si="18"/>
        <v>134.33706318090915</v>
      </c>
      <c r="R102" s="140"/>
      <c r="U102" s="141">
        <f t="shared" si="15"/>
        <v>0.56000000000000005</v>
      </c>
    </row>
    <row r="103" spans="1:21">
      <c r="A103" s="136"/>
      <c r="B103" s="156"/>
      <c r="C103" s="164" t="s">
        <v>220</v>
      </c>
      <c r="D103" s="166">
        <v>96.9</v>
      </c>
      <c r="E103" s="166">
        <v>47.9</v>
      </c>
      <c r="F103" s="165"/>
      <c r="G103" s="166">
        <f>(D103-LookupData!$AM$4*E103)/(LookupData!$AM$2-LookupData!$AM$4)</f>
        <v>26.631428571428579</v>
      </c>
      <c r="H103" s="166">
        <f t="shared" si="17"/>
        <v>21.26857142857142</v>
      </c>
      <c r="I103" s="165"/>
      <c r="J103" s="166">
        <f>D103*LookupData!$AN$10</f>
        <v>305.69253205720167</v>
      </c>
      <c r="K103" s="166">
        <f>E103*LookupData!$AN$10</f>
        <v>151.11116909741961</v>
      </c>
      <c r="L103" s="167"/>
      <c r="M103" s="166">
        <f>G103*LookupData!$AN$10</f>
        <v>84.01474543137779</v>
      </c>
      <c r="N103" s="166">
        <f>H103*LookupData!$AN$10</f>
        <v>67.096423666041815</v>
      </c>
      <c r="O103" s="167"/>
      <c r="P103" s="166">
        <f>(M103+N103*0.75)*LookupData!AN$7</f>
        <v>12.480321554178531</v>
      </c>
      <c r="Q103" s="168">
        <f t="shared" si="18"/>
        <v>134.33706318090915</v>
      </c>
      <c r="R103" s="140"/>
      <c r="U103" s="141">
        <f t="shared" si="15"/>
        <v>0.56000000000000005</v>
      </c>
    </row>
    <row r="104" spans="1:21">
      <c r="A104" s="136"/>
      <c r="B104" s="149" t="s">
        <v>221</v>
      </c>
      <c r="C104" s="150" t="s">
        <v>262</v>
      </c>
      <c r="D104" s="152">
        <v>89.3</v>
      </c>
      <c r="E104" s="152">
        <v>40.1</v>
      </c>
      <c r="F104" s="151"/>
      <c r="G104" s="152">
        <f>(D104-LookupData!$AM$4*E104)/(LookupData!$AM$2-LookupData!$AM$4)</f>
        <v>26.96857142857143</v>
      </c>
      <c r="H104" s="152">
        <f t="shared" ref="H104:H105" si="19">E104-G104</f>
        <v>13.131428571428572</v>
      </c>
      <c r="I104" s="151"/>
      <c r="J104" s="152">
        <f>D104*LookupData!$AN$10</f>
        <v>281.71664718997016</v>
      </c>
      <c r="K104" s="152">
        <f>E104*LookupData!$AN$10</f>
        <v>126.50433989157675</v>
      </c>
      <c r="L104" s="154"/>
      <c r="M104" s="152">
        <f>G104*LookupData!$AN$10</f>
        <v>85.078337316465479</v>
      </c>
      <c r="N104" s="152">
        <f>H104*LookupData!$AN$10</f>
        <v>41.426002575111276</v>
      </c>
      <c r="O104" s="154"/>
      <c r="P104" s="152">
        <f>(M104+N104*0.75)*LookupData!AN$7</f>
        <v>10.790487355551836</v>
      </c>
      <c r="Q104" s="155">
        <f t="shared" si="14"/>
        <v>116.14783924779894</v>
      </c>
      <c r="R104" s="140"/>
      <c r="U104" s="141">
        <f t="shared" si="15"/>
        <v>0.68</v>
      </c>
    </row>
    <row r="105" spans="1:21">
      <c r="A105" s="136"/>
      <c r="B105" s="163"/>
      <c r="C105" s="164" t="s">
        <v>222</v>
      </c>
      <c r="D105" s="166">
        <v>89.3</v>
      </c>
      <c r="E105" s="166">
        <v>40.1</v>
      </c>
      <c r="F105" s="165"/>
      <c r="G105" s="166">
        <f>(D105-LookupData!$AM$4*E105)/(LookupData!$AM$2-LookupData!$AM$4)</f>
        <v>26.96857142857143</v>
      </c>
      <c r="H105" s="166">
        <f t="shared" si="19"/>
        <v>13.131428571428572</v>
      </c>
      <c r="I105" s="165"/>
      <c r="J105" s="166">
        <f>D105*LookupData!$AN$10</f>
        <v>281.71664718997016</v>
      </c>
      <c r="K105" s="166">
        <f>E105*LookupData!$AN$10</f>
        <v>126.50433989157675</v>
      </c>
      <c r="L105" s="167"/>
      <c r="M105" s="166">
        <f>G105*LookupData!$AN$10</f>
        <v>85.078337316465479</v>
      </c>
      <c r="N105" s="166">
        <f>H105*LookupData!$AN$10</f>
        <v>41.426002575111276</v>
      </c>
      <c r="O105" s="167"/>
      <c r="P105" s="166">
        <f>(M105+N105*0.75)*LookupData!AN$7</f>
        <v>10.790487355551836</v>
      </c>
      <c r="Q105" s="168">
        <f t="shared" si="14"/>
        <v>116.14783924779894</v>
      </c>
      <c r="R105" s="140"/>
      <c r="U105" s="141">
        <f t="shared" si="15"/>
        <v>0.68</v>
      </c>
    </row>
    <row r="106" spans="1:21">
      <c r="A106" s="136"/>
      <c r="B106" s="149" t="s">
        <v>223</v>
      </c>
      <c r="C106" s="150" t="s">
        <v>224</v>
      </c>
      <c r="D106" s="152">
        <v>47.8</v>
      </c>
      <c r="E106" s="152">
        <v>20.2</v>
      </c>
      <c r="F106" s="151"/>
      <c r="G106" s="152">
        <f>(D106-LookupData!$AM$4*E106)/(LookupData!$AM$2-LookupData!$AM$4)</f>
        <v>15.194285714285714</v>
      </c>
      <c r="H106" s="152">
        <f t="shared" ref="H106:H109" si="20">E106-G106</f>
        <v>5.0057142857142853</v>
      </c>
      <c r="I106" s="151"/>
      <c r="J106" s="152">
        <f>D106*LookupData!$AN$10</f>
        <v>150.79569692811393</v>
      </c>
      <c r="K106" s="152">
        <f>E106*LookupData!$AN$10</f>
        <v>63.725378199746885</v>
      </c>
      <c r="L106" s="154"/>
      <c r="M106" s="152">
        <f>G106*LookupData!$AN$10</f>
        <v>47.933742753359823</v>
      </c>
      <c r="N106" s="152">
        <f>H106*LookupData!$AN$10</f>
        <v>15.791635446387064</v>
      </c>
      <c r="O106" s="154"/>
      <c r="P106" s="152">
        <f>(M106+N106*0.75)*LookupData!AN$7</f>
        <v>5.5535086250209345</v>
      </c>
      <c r="Q106" s="155">
        <f t="shared" si="14"/>
        <v>59.777469338150119</v>
      </c>
      <c r="R106" s="140"/>
      <c r="U106" s="141">
        <f t="shared" si="15"/>
        <v>0.76</v>
      </c>
    </row>
    <row r="107" spans="1:21" ht="30">
      <c r="A107" s="136"/>
      <c r="B107" s="156"/>
      <c r="C107" s="157" t="s">
        <v>263</v>
      </c>
      <c r="D107" s="159">
        <v>52.9</v>
      </c>
      <c r="E107" s="159">
        <v>22.7</v>
      </c>
      <c r="F107" s="158"/>
      <c r="G107" s="159">
        <f>(D107-LookupData!$AM$4*E107)/(LookupData!$AM$2-LookupData!$AM$4)</f>
        <v>16.60857142857143</v>
      </c>
      <c r="H107" s="159">
        <f t="shared" si="20"/>
        <v>6.091428571428569</v>
      </c>
      <c r="I107" s="158"/>
      <c r="J107" s="159">
        <f>D107*LookupData!$AN$10</f>
        <v>166.88477756270348</v>
      </c>
      <c r="K107" s="159">
        <f>E107*LookupData!$AN$10</f>
        <v>71.612182432388835</v>
      </c>
      <c r="L107" s="161"/>
      <c r="M107" s="159">
        <f>G107*LookupData!$AN$10</f>
        <v>52.395420576397271</v>
      </c>
      <c r="N107" s="159">
        <f>H107*LookupData!$AN$10</f>
        <v>19.216761855991557</v>
      </c>
      <c r="O107" s="161"/>
      <c r="P107" s="159">
        <f>(M107+N107*0.75)*LookupData!AN$7</f>
        <v>6.2066655501591024</v>
      </c>
      <c r="Q107" s="162">
        <f t="shared" si="14"/>
        <v>66.807991968390937</v>
      </c>
      <c r="R107" s="140"/>
      <c r="U107" s="141">
        <f t="shared" si="15"/>
        <v>0.74</v>
      </c>
    </row>
    <row r="108" spans="1:21">
      <c r="A108" s="136"/>
      <c r="B108" s="156"/>
      <c r="C108" s="157" t="s">
        <v>225</v>
      </c>
      <c r="D108" s="159">
        <v>52.9</v>
      </c>
      <c r="E108" s="159">
        <v>22.7</v>
      </c>
      <c r="F108" s="158"/>
      <c r="G108" s="159">
        <f>(D108-LookupData!$AM$4*E108)/(LookupData!$AM$2-LookupData!$AM$4)</f>
        <v>16.60857142857143</v>
      </c>
      <c r="H108" s="159">
        <f t="shared" si="20"/>
        <v>6.091428571428569</v>
      </c>
      <c r="I108" s="158"/>
      <c r="J108" s="159">
        <f>D108*LookupData!$AN$10</f>
        <v>166.88477756270348</v>
      </c>
      <c r="K108" s="159">
        <f>E108*LookupData!$AN$10</f>
        <v>71.612182432388835</v>
      </c>
      <c r="L108" s="161"/>
      <c r="M108" s="159">
        <f>G108*LookupData!$AN$10</f>
        <v>52.395420576397271</v>
      </c>
      <c r="N108" s="159">
        <f>H108*LookupData!$AN$10</f>
        <v>19.216761855991557</v>
      </c>
      <c r="O108" s="161"/>
      <c r="P108" s="159">
        <f>(M108+N108*0.75)*LookupData!AN$7</f>
        <v>6.2066655501591024</v>
      </c>
      <c r="Q108" s="162">
        <f t="shared" si="14"/>
        <v>66.807991968390937</v>
      </c>
      <c r="R108" s="140"/>
      <c r="U108" s="141">
        <f t="shared" si="15"/>
        <v>0.74</v>
      </c>
    </row>
    <row r="109" spans="1:21">
      <c r="A109" s="136"/>
      <c r="B109" s="163"/>
      <c r="C109" s="164" t="s">
        <v>226</v>
      </c>
      <c r="D109" s="166">
        <v>235.6</v>
      </c>
      <c r="E109" s="166">
        <v>84.1</v>
      </c>
      <c r="F109" s="165"/>
      <c r="G109" s="166">
        <f>(D109-LookupData!$AM$4*E109)/(LookupData!$AM$2-LookupData!$AM$4)</f>
        <v>84.168571428571454</v>
      </c>
      <c r="H109" s="166">
        <f t="shared" si="20"/>
        <v>-6.8571428571459592E-2</v>
      </c>
      <c r="I109" s="165"/>
      <c r="J109" s="166">
        <f>D109*LookupData!$AN$10</f>
        <v>743.25243088417653</v>
      </c>
      <c r="K109" s="166">
        <f>E109*LookupData!$AN$10</f>
        <v>265.31209438607493</v>
      </c>
      <c r="L109" s="167"/>
      <c r="M109" s="166">
        <f>K109</f>
        <v>265.31209438607493</v>
      </c>
      <c r="N109" s="166"/>
      <c r="O109" s="167"/>
      <c r="P109" s="166">
        <f>(M109+N109*0.75)*LookupData!AN$7</f>
        <v>24.648300117233298</v>
      </c>
      <c r="Q109" s="168">
        <f t="shared" si="14"/>
        <v>265.31209438607493</v>
      </c>
      <c r="R109" s="140"/>
      <c r="U109" s="141">
        <f t="shared" si="15"/>
        <v>1</v>
      </c>
    </row>
    <row r="110" spans="1:21">
      <c r="A110" s="136"/>
      <c r="B110" s="163" t="s">
        <v>44</v>
      </c>
      <c r="C110" s="164" t="s">
        <v>44</v>
      </c>
      <c r="D110" s="166">
        <v>89.3</v>
      </c>
      <c r="E110" s="166">
        <v>40.1</v>
      </c>
      <c r="F110" s="165"/>
      <c r="G110" s="166">
        <f>(D110-LookupData!$AM$4*E110)/(LookupData!$AM$2-LookupData!$AM$4)</f>
        <v>26.96857142857143</v>
      </c>
      <c r="H110" s="166">
        <f t="shared" ref="H110" si="21">E110-G110</f>
        <v>13.131428571428572</v>
      </c>
      <c r="I110" s="165"/>
      <c r="J110" s="166">
        <f>D110*LookupData!$AN$10</f>
        <v>281.71664718997016</v>
      </c>
      <c r="K110" s="166">
        <f>E110*LookupData!$AN$10</f>
        <v>126.50433989157675</v>
      </c>
      <c r="L110" s="167" t="s">
        <v>29</v>
      </c>
      <c r="M110" s="166">
        <f>G110*LookupData!$AN$10</f>
        <v>85.078337316465479</v>
      </c>
      <c r="N110" s="166">
        <f>H110*LookupData!$AN$10</f>
        <v>41.426002575111276</v>
      </c>
      <c r="O110" s="167"/>
      <c r="P110" s="166">
        <f>(M110+N110*0.75)*LookupData!AN$7</f>
        <v>10.790487355551836</v>
      </c>
      <c r="Q110" s="168">
        <f t="shared" si="14"/>
        <v>116.14783924779894</v>
      </c>
      <c r="R110" s="140"/>
      <c r="U110" s="141">
        <f t="shared" si="15"/>
        <v>0.68</v>
      </c>
    </row>
    <row r="111" spans="1:21">
      <c r="A111" s="136"/>
      <c r="B111" s="136"/>
      <c r="C111" s="135"/>
      <c r="D111" s="137"/>
      <c r="E111" s="137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</row>
    <row r="112" spans="1:21">
      <c r="A112" s="136"/>
      <c r="B112" s="136"/>
      <c r="C112" s="135"/>
      <c r="D112" s="137"/>
      <c r="E112" s="137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</row>
    <row r="113" spans="1:18">
      <c r="A113" s="136"/>
      <c r="B113" s="136"/>
      <c r="C113" s="135"/>
      <c r="D113" s="137"/>
      <c r="E113" s="137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</row>
    <row r="114" spans="1:18">
      <c r="A114" s="136"/>
      <c r="B114" s="136"/>
      <c r="C114" s="135"/>
      <c r="D114" s="137"/>
      <c r="E114" s="137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</row>
    <row r="115" spans="1:18">
      <c r="A115" s="136"/>
      <c r="B115" s="136"/>
      <c r="C115" s="135"/>
      <c r="D115" s="137"/>
      <c r="E115" s="137"/>
      <c r="F115" s="136"/>
      <c r="G115" s="136"/>
      <c r="H115" s="136"/>
      <c r="I115" s="136"/>
      <c r="J115" s="136"/>
      <c r="K115" s="136"/>
      <c r="L115" s="136"/>
      <c r="M115" s="136"/>
      <c r="N115" s="136"/>
      <c r="O115" s="136"/>
      <c r="P115" s="136"/>
      <c r="Q115" s="136"/>
      <c r="R115" s="136"/>
    </row>
    <row r="116" spans="1:18">
      <c r="A116" s="136"/>
      <c r="B116" s="136"/>
      <c r="C116" s="135"/>
      <c r="D116" s="137"/>
      <c r="E116" s="137"/>
      <c r="F116" s="136"/>
      <c r="G116" s="136"/>
      <c r="H116" s="136"/>
      <c r="I116" s="136"/>
      <c r="J116" s="136"/>
      <c r="K116" s="136"/>
      <c r="L116" s="136"/>
      <c r="M116" s="136"/>
      <c r="N116" s="136"/>
      <c r="O116" s="136"/>
      <c r="P116" s="136"/>
      <c r="Q116" s="136"/>
      <c r="R116" s="136"/>
    </row>
    <row r="117" spans="1:18">
      <c r="A117" s="136"/>
      <c r="B117" s="136"/>
      <c r="C117" s="135"/>
      <c r="D117" s="137"/>
      <c r="E117" s="137"/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</row>
    <row r="118" spans="1:18">
      <c r="A118" s="136"/>
      <c r="B118" s="136"/>
      <c r="C118" s="135"/>
      <c r="D118" s="137"/>
      <c r="E118" s="137"/>
      <c r="F118" s="136"/>
      <c r="G118" s="136"/>
      <c r="H118" s="136"/>
      <c r="I118" s="136"/>
      <c r="J118" s="136"/>
      <c r="K118" s="136"/>
      <c r="L118" s="136"/>
      <c r="M118" s="136"/>
      <c r="N118" s="136"/>
      <c r="O118" s="136"/>
      <c r="P118" s="136"/>
      <c r="Q118" s="136"/>
      <c r="R118" s="136"/>
    </row>
    <row r="119" spans="1:18">
      <c r="A119" s="136"/>
      <c r="B119" s="136"/>
      <c r="C119" s="135"/>
      <c r="D119" s="137"/>
      <c r="E119" s="137"/>
      <c r="F119" s="136"/>
      <c r="G119" s="136"/>
      <c r="H119" s="136"/>
      <c r="I119" s="136"/>
      <c r="J119" s="136"/>
      <c r="K119" s="136"/>
      <c r="L119" s="136"/>
      <c r="M119" s="136"/>
      <c r="N119" s="136"/>
      <c r="O119" s="136"/>
      <c r="P119" s="136"/>
      <c r="Q119" s="136"/>
      <c r="R119" s="136"/>
    </row>
    <row r="120" spans="1:18">
      <c r="A120" s="136"/>
      <c r="B120" s="136"/>
      <c r="C120" s="135"/>
      <c r="D120" s="137"/>
      <c r="E120" s="137"/>
      <c r="F120" s="136"/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</row>
    <row r="121" spans="1:18">
      <c r="A121" s="136"/>
      <c r="B121" s="136"/>
      <c r="C121" s="135"/>
      <c r="D121" s="137"/>
      <c r="E121" s="137"/>
      <c r="F121" s="136"/>
      <c r="G121" s="136"/>
      <c r="H121" s="136"/>
      <c r="I121" s="136"/>
      <c r="J121" s="136"/>
      <c r="K121" s="136"/>
      <c r="L121" s="136"/>
      <c r="M121" s="136"/>
      <c r="N121" s="136"/>
      <c r="O121" s="136"/>
      <c r="P121" s="136"/>
      <c r="Q121" s="136"/>
      <c r="R121" s="136"/>
    </row>
    <row r="122" spans="1:18">
      <c r="A122" s="136"/>
      <c r="B122" s="136"/>
      <c r="C122" s="135"/>
      <c r="D122" s="137"/>
      <c r="E122" s="137"/>
      <c r="F122" s="136"/>
      <c r="G122" s="136"/>
      <c r="H122" s="136"/>
      <c r="I122" s="136"/>
      <c r="J122" s="136"/>
      <c r="K122" s="136"/>
      <c r="L122" s="136"/>
      <c r="M122" s="136"/>
      <c r="N122" s="136"/>
      <c r="O122" s="136"/>
      <c r="P122" s="136"/>
      <c r="Q122" s="136"/>
      <c r="R122" s="136"/>
    </row>
    <row r="123" spans="1:18">
      <c r="A123" s="136"/>
      <c r="B123" s="136"/>
      <c r="C123" s="135"/>
      <c r="D123" s="137"/>
      <c r="E123" s="137"/>
      <c r="F123" s="136"/>
      <c r="G123" s="136"/>
      <c r="H123" s="136"/>
      <c r="I123" s="136"/>
      <c r="J123" s="136"/>
      <c r="K123" s="136"/>
      <c r="L123" s="136"/>
      <c r="M123" s="136"/>
      <c r="N123" s="136"/>
      <c r="O123" s="136"/>
      <c r="P123" s="136"/>
      <c r="Q123" s="136"/>
      <c r="R123" s="136"/>
    </row>
    <row r="124" spans="1:18">
      <c r="A124" s="136"/>
      <c r="B124" s="136"/>
      <c r="C124" s="135"/>
      <c r="D124" s="137"/>
      <c r="E124" s="137"/>
      <c r="F124" s="136"/>
      <c r="G124" s="136"/>
      <c r="H124" s="136"/>
      <c r="I124" s="136"/>
      <c r="J124" s="136"/>
      <c r="K124" s="136"/>
      <c r="L124" s="136"/>
      <c r="M124" s="136"/>
      <c r="N124" s="136"/>
      <c r="O124" s="136"/>
      <c r="P124" s="136"/>
      <c r="Q124" s="136"/>
      <c r="R124" s="136"/>
    </row>
    <row r="125" spans="1:18">
      <c r="A125" s="136"/>
      <c r="B125" s="136"/>
      <c r="C125" s="135"/>
      <c r="D125" s="137"/>
      <c r="E125" s="137"/>
      <c r="F125" s="136"/>
      <c r="G125" s="136"/>
      <c r="H125" s="136"/>
      <c r="I125" s="136"/>
      <c r="J125" s="136"/>
      <c r="K125" s="136"/>
      <c r="L125" s="136"/>
      <c r="M125" s="136"/>
      <c r="N125" s="136"/>
      <c r="O125" s="136"/>
      <c r="P125" s="136"/>
      <c r="Q125" s="136"/>
      <c r="R125" s="136"/>
    </row>
    <row r="126" spans="1:18">
      <c r="A126" s="136"/>
      <c r="B126" s="136"/>
      <c r="C126" s="135"/>
      <c r="D126" s="137"/>
      <c r="E126" s="137"/>
      <c r="F126" s="136"/>
      <c r="G126" s="136"/>
      <c r="H126" s="136"/>
      <c r="I126" s="136"/>
      <c r="J126" s="136"/>
      <c r="K126" s="136"/>
      <c r="L126" s="136"/>
      <c r="M126" s="136"/>
      <c r="N126" s="136"/>
      <c r="O126" s="136"/>
      <c r="P126" s="136"/>
      <c r="Q126" s="136"/>
      <c r="R126" s="136"/>
    </row>
    <row r="127" spans="1:18">
      <c r="A127" s="136"/>
      <c r="B127" s="136"/>
      <c r="C127" s="135"/>
      <c r="D127" s="137"/>
      <c r="E127" s="137"/>
      <c r="F127" s="136"/>
      <c r="G127" s="136"/>
      <c r="H127" s="136"/>
      <c r="I127" s="136"/>
      <c r="J127" s="136"/>
      <c r="K127" s="136"/>
      <c r="L127" s="136"/>
      <c r="M127" s="136"/>
      <c r="N127" s="136"/>
      <c r="O127" s="136"/>
      <c r="P127" s="136"/>
      <c r="Q127" s="136"/>
      <c r="R127" s="136"/>
    </row>
    <row r="128" spans="1:18">
      <c r="A128" s="136"/>
      <c r="B128" s="136"/>
      <c r="C128" s="135"/>
      <c r="D128" s="137"/>
      <c r="E128" s="137"/>
      <c r="F128" s="136"/>
      <c r="G128" s="136"/>
      <c r="H128" s="136"/>
      <c r="I128" s="136"/>
      <c r="J128" s="136"/>
      <c r="K128" s="136"/>
      <c r="L128" s="136"/>
      <c r="M128" s="136"/>
      <c r="N128" s="136"/>
      <c r="O128" s="136"/>
      <c r="P128" s="136"/>
      <c r="Q128" s="136"/>
      <c r="R128" s="136"/>
    </row>
    <row r="129" spans="1:1">
      <c r="A129" s="136"/>
    </row>
  </sheetData>
  <sheetProtection algorithmName="SHA-512" hashValue="ORd5ft9O9kG2ADVPHDohYwNkCJHf6oWR9AGlqTt15xPPX7zAdJsHtfONNT8GzYvQiY0k9bzxPyXcoT48VzsuFg==" saltValue="XdM5S+OGVnTybOGMRd9Tkg==" spinCount="100000" sheet="1" objects="1" scenarios="1" formatCells="0" insertRows="0"/>
  <mergeCells count="26">
    <mergeCell ref="B18:C18"/>
    <mergeCell ref="B19:C19"/>
    <mergeCell ref="M20:N20"/>
    <mergeCell ref="M21:N21"/>
    <mergeCell ref="M14:N14"/>
    <mergeCell ref="M15:N15"/>
    <mergeCell ref="M16:N16"/>
    <mergeCell ref="M17:N17"/>
    <mergeCell ref="M18:N18"/>
    <mergeCell ref="M19:N19"/>
    <mergeCell ref="B12:C13"/>
    <mergeCell ref="D13:E13"/>
    <mergeCell ref="D12:E12"/>
    <mergeCell ref="D21:E21"/>
    <mergeCell ref="B20:C20"/>
    <mergeCell ref="D14:E14"/>
    <mergeCell ref="D15:E15"/>
    <mergeCell ref="D16:E16"/>
    <mergeCell ref="D17:E17"/>
    <mergeCell ref="D18:E18"/>
    <mergeCell ref="D19:E19"/>
    <mergeCell ref="D20:E20"/>
    <mergeCell ref="B14:C14"/>
    <mergeCell ref="B15:C15"/>
    <mergeCell ref="B16:C16"/>
    <mergeCell ref="B17:C17"/>
  </mergeCells>
  <conditionalFormatting sqref="U30:U110">
    <cfRule type="cellIs" dxfId="2" priority="1" stopIfTrue="1" operator="between">
      <formula>0.7</formula>
      <formula>1</formula>
    </cfRule>
    <cfRule type="cellIs" dxfId="1" priority="2" stopIfTrue="1" operator="between">
      <formula>0.66</formula>
      <formula>0.7</formula>
    </cfRule>
    <cfRule type="cellIs" dxfId="0" priority="3" operator="between">
      <formula>0.01</formula>
      <formula>0.66</formula>
    </cfRule>
  </conditionalFormatting>
  <dataValidations count="2">
    <dataValidation type="list" allowBlank="1" showInputMessage="1" showErrorMessage="1" sqref="K7" xr:uid="{00000000-0002-0000-0200-000000000000}">
      <formula1>"No,Yes"</formula1>
    </dataValidation>
    <dataValidation type="list" allowBlank="1" showInputMessage="1" showErrorMessage="1" sqref="B14:C20" xr:uid="{00000000-0002-0000-0200-000001000000}">
      <formula1>Building_Type_List</formula1>
    </dataValidation>
  </dataValidations>
  <hyperlinks>
    <hyperlink ref="B24" r:id="rId1" display="Source: https://portfoliomanager.energystar.gov/pdf/reference/US%20National%20Median%20Table.pdf" xr:uid="{00000000-0004-0000-0200-000000000000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104"/>
  <sheetViews>
    <sheetView showGridLines="0" topLeftCell="B1" zoomScaleNormal="100" workbookViewId="0">
      <selection activeCell="I47" sqref="I47"/>
    </sheetView>
  </sheetViews>
  <sheetFormatPr defaultColWidth="8.85546875" defaultRowHeight="15"/>
  <cols>
    <col min="1" max="2" width="2.7109375" style="305" customWidth="1"/>
    <col min="3" max="3" width="7" style="305" customWidth="1"/>
    <col min="4" max="4" width="2.42578125" style="305" customWidth="1"/>
    <col min="5" max="5" width="5.7109375" style="305" customWidth="1"/>
    <col min="6" max="6" width="69.140625" style="305" customWidth="1"/>
    <col min="7" max="7" width="12.42578125" style="305" customWidth="1"/>
    <col min="8" max="8" width="19.140625" style="306" customWidth="1"/>
    <col min="9" max="9" width="2.7109375" style="305" customWidth="1"/>
  </cols>
  <sheetData>
    <row r="1" spans="1:12">
      <c r="A1" s="238"/>
      <c r="B1" s="238"/>
      <c r="C1" s="238"/>
      <c r="D1" s="238"/>
      <c r="E1" s="238"/>
      <c r="F1" s="238"/>
      <c r="G1" s="238"/>
      <c r="H1" s="239"/>
      <c r="I1" s="238"/>
      <c r="J1" s="238"/>
      <c r="K1" s="238"/>
      <c r="L1" s="238"/>
    </row>
    <row r="2" spans="1:12">
      <c r="A2" s="238"/>
      <c r="B2" s="240"/>
      <c r="C2" s="241"/>
      <c r="D2" s="241"/>
      <c r="E2" s="241"/>
      <c r="F2" s="241"/>
      <c r="G2" s="241"/>
      <c r="H2" s="242"/>
      <c r="I2" s="243"/>
      <c r="J2" s="238"/>
      <c r="K2" s="238"/>
      <c r="L2" s="238"/>
    </row>
    <row r="3" spans="1:12" ht="20.25">
      <c r="A3" s="238"/>
      <c r="B3" s="244"/>
      <c r="C3" s="245" t="s">
        <v>312</v>
      </c>
      <c r="D3" s="246"/>
      <c r="E3" s="246"/>
      <c r="F3" s="247"/>
      <c r="G3" s="247"/>
      <c r="H3" s="248"/>
      <c r="I3" s="249"/>
      <c r="J3" s="250"/>
      <c r="K3" s="250"/>
      <c r="L3" s="238"/>
    </row>
    <row r="4" spans="1:12">
      <c r="A4" s="238"/>
      <c r="B4" s="244"/>
      <c r="C4" s="251" t="s">
        <v>304</v>
      </c>
      <c r="D4" s="246"/>
      <c r="E4" s="246"/>
      <c r="F4" s="252"/>
      <c r="G4" s="252"/>
      <c r="H4" s="248"/>
      <c r="I4" s="253"/>
      <c r="J4" s="238"/>
      <c r="K4" s="254"/>
      <c r="L4" s="238"/>
    </row>
    <row r="5" spans="1:12">
      <c r="A5" s="238"/>
      <c r="B5" s="244"/>
      <c r="C5" s="251"/>
      <c r="D5" s="246"/>
      <c r="E5" s="246"/>
      <c r="F5" s="252"/>
      <c r="G5" s="252"/>
      <c r="H5" s="248"/>
      <c r="I5" s="253"/>
      <c r="J5" s="238"/>
      <c r="K5" s="254"/>
      <c r="L5" s="238"/>
    </row>
    <row r="6" spans="1:12">
      <c r="A6" s="238"/>
      <c r="B6" s="244"/>
      <c r="C6" s="136"/>
      <c r="D6" s="136"/>
      <c r="E6" s="136"/>
      <c r="F6" s="136"/>
      <c r="G6" s="136"/>
      <c r="H6" s="136"/>
      <c r="I6" s="253"/>
      <c r="J6" s="238"/>
      <c r="K6" s="256"/>
      <c r="L6" s="238"/>
    </row>
    <row r="7" spans="1:12">
      <c r="A7" s="238"/>
      <c r="B7" s="257"/>
      <c r="C7" s="258"/>
      <c r="D7" s="259"/>
      <c r="E7" s="257"/>
      <c r="F7" s="259"/>
      <c r="G7" s="257"/>
      <c r="H7" s="260"/>
      <c r="I7" s="257"/>
      <c r="J7" s="238"/>
      <c r="K7" s="256"/>
      <c r="L7" s="238"/>
    </row>
    <row r="8" spans="1:12">
      <c r="A8" s="238"/>
      <c r="B8" s="240"/>
      <c r="C8" s="261"/>
      <c r="D8" s="241"/>
      <c r="E8" s="241"/>
      <c r="F8" s="241"/>
      <c r="G8" s="241"/>
      <c r="H8" s="242"/>
      <c r="I8" s="243"/>
      <c r="J8" s="263"/>
      <c r="K8" s="263"/>
      <c r="L8" s="238"/>
    </row>
    <row r="9" spans="1:12">
      <c r="A9" s="238"/>
      <c r="B9" s="244"/>
      <c r="C9" s="304" t="s">
        <v>313</v>
      </c>
      <c r="D9" s="246"/>
      <c r="E9" s="246"/>
      <c r="F9" s="246"/>
      <c r="G9" s="246"/>
      <c r="H9" s="248"/>
      <c r="I9" s="253"/>
      <c r="J9" s="263"/>
      <c r="K9" s="263"/>
      <c r="L9" s="238"/>
    </row>
    <row r="10" spans="1:12">
      <c r="A10" s="238"/>
      <c r="B10" s="244"/>
      <c r="C10" s="307"/>
      <c r="D10" s="308"/>
      <c r="E10" s="308"/>
      <c r="F10" s="246"/>
      <c r="G10" s="246"/>
      <c r="H10" s="248"/>
      <c r="I10" s="253"/>
      <c r="J10" s="238"/>
      <c r="K10" s="262"/>
      <c r="L10" s="238"/>
    </row>
    <row r="11" spans="1:12">
      <c r="A11" s="238"/>
      <c r="B11" s="244"/>
      <c r="C11" s="308" t="s">
        <v>309</v>
      </c>
      <c r="D11" s="246"/>
      <c r="E11" s="309"/>
      <c r="F11" s="246"/>
      <c r="G11" s="246"/>
      <c r="H11" s="311">
        <f>'Renewable Energy'!T38</f>
        <v>0</v>
      </c>
      <c r="I11" s="253"/>
      <c r="J11" s="238"/>
      <c r="K11" s="264"/>
      <c r="L11" s="238"/>
    </row>
    <row r="12" spans="1:12">
      <c r="A12" s="238"/>
      <c r="B12" s="244"/>
      <c r="C12" s="309"/>
      <c r="D12" s="309"/>
      <c r="E12" s="246"/>
      <c r="F12" s="246"/>
      <c r="G12" s="246"/>
      <c r="H12" s="248"/>
      <c r="I12" s="253"/>
      <c r="J12" s="238"/>
      <c r="K12" s="256"/>
      <c r="L12" s="238"/>
    </row>
    <row r="13" spans="1:12">
      <c r="A13" s="238"/>
      <c r="B13" s="244"/>
      <c r="C13" s="309" t="s">
        <v>310</v>
      </c>
      <c r="D13" s="309"/>
      <c r="E13" s="246"/>
      <c r="F13" s="246"/>
      <c r="G13" s="246"/>
      <c r="H13" s="311">
        <f>'Renewable Energy'!T39</f>
        <v>0</v>
      </c>
      <c r="I13" s="253"/>
      <c r="J13" s="238"/>
      <c r="K13" s="255"/>
      <c r="L13" s="238"/>
    </row>
    <row r="14" spans="1:12">
      <c r="A14" s="238"/>
      <c r="B14" s="244"/>
      <c r="C14" s="308"/>
      <c r="D14" s="308"/>
      <c r="E14" s="246"/>
      <c r="F14" s="310"/>
      <c r="G14" s="246"/>
      <c r="H14" s="248"/>
      <c r="I14" s="253"/>
      <c r="J14" s="238"/>
      <c r="K14" s="264"/>
      <c r="L14" s="238"/>
    </row>
    <row r="15" spans="1:12">
      <c r="A15" s="238"/>
      <c r="B15" s="244"/>
      <c r="C15" s="308" t="s">
        <v>314</v>
      </c>
      <c r="D15" s="246"/>
      <c r="E15" s="308"/>
      <c r="F15" s="310"/>
      <c r="G15" s="246"/>
      <c r="H15" s="265">
        <f>'Renewable Energy'!T40</f>
        <v>0</v>
      </c>
      <c r="I15" s="253"/>
      <c r="J15" s="238"/>
      <c r="K15" s="255"/>
      <c r="L15" s="238"/>
    </row>
    <row r="16" spans="1:12">
      <c r="A16" s="238"/>
      <c r="B16" s="244"/>
      <c r="C16" s="308"/>
      <c r="D16" s="246"/>
      <c r="E16" s="308"/>
      <c r="F16" s="310"/>
      <c r="G16" s="246"/>
      <c r="H16" s="324"/>
      <c r="I16" s="253"/>
      <c r="J16" s="238"/>
      <c r="K16" s="255"/>
      <c r="L16" s="238"/>
    </row>
    <row r="17" spans="1:12">
      <c r="A17" s="238"/>
      <c r="B17" s="244"/>
      <c r="C17" s="323" t="s">
        <v>319</v>
      </c>
      <c r="D17" s="246"/>
      <c r="E17" s="308"/>
      <c r="F17" s="310"/>
      <c r="G17" s="325" t="str">
        <f>IFERROR(IF('Renewable Energy'!L42&gt;0,'Renewable Energy'!L42,""),"")</f>
        <v/>
      </c>
      <c r="H17" s="326" t="str">
        <f>IFERROR('Renewable Energy'!M42,"")</f>
        <v>Points</v>
      </c>
      <c r="I17" s="253"/>
      <c r="J17" s="238"/>
      <c r="K17" s="255"/>
      <c r="L17" s="238"/>
    </row>
    <row r="18" spans="1:12">
      <c r="A18" s="238"/>
      <c r="B18" s="244"/>
      <c r="C18" s="308"/>
      <c r="D18" s="246"/>
      <c r="E18" s="308"/>
      <c r="F18" s="310"/>
      <c r="G18" s="246"/>
      <c r="H18" s="324"/>
      <c r="I18" s="253"/>
      <c r="J18" s="238"/>
      <c r="K18" s="255"/>
      <c r="L18" s="238"/>
    </row>
    <row r="19" spans="1:12">
      <c r="A19" s="238"/>
      <c r="B19" s="266"/>
      <c r="C19" s="267"/>
      <c r="D19" s="268"/>
      <c r="E19" s="269"/>
      <c r="F19" s="268"/>
      <c r="G19" s="269"/>
      <c r="H19" s="270"/>
      <c r="I19" s="271"/>
      <c r="J19" s="238"/>
      <c r="K19" s="256"/>
      <c r="L19" s="238"/>
    </row>
    <row r="20" spans="1:12">
      <c r="A20" s="238"/>
      <c r="B20" s="238"/>
      <c r="C20" s="238"/>
      <c r="D20" s="414"/>
      <c r="E20" s="414"/>
      <c r="F20" s="272"/>
      <c r="G20" s="238"/>
      <c r="H20" s="239"/>
      <c r="I20" s="238"/>
      <c r="J20" s="263"/>
      <c r="K20" s="415"/>
      <c r="L20" s="238"/>
    </row>
    <row r="21" spans="1:12">
      <c r="A21" s="238"/>
      <c r="B21" s="238"/>
      <c r="C21" s="238"/>
      <c r="D21" s="238"/>
      <c r="E21" s="238"/>
      <c r="F21" s="238"/>
      <c r="G21" s="238"/>
      <c r="H21" s="238"/>
      <c r="I21" s="238"/>
      <c r="J21" s="238"/>
      <c r="K21" s="415"/>
      <c r="L21" s="238"/>
    </row>
    <row r="22" spans="1:12">
      <c r="A22" s="238"/>
      <c r="B22" s="238"/>
      <c r="C22" s="238"/>
      <c r="D22" s="238"/>
      <c r="E22" s="238"/>
      <c r="F22" s="238"/>
      <c r="G22" s="238"/>
      <c r="H22" s="239"/>
      <c r="I22" s="238"/>
      <c r="J22" s="263"/>
      <c r="K22" s="273"/>
      <c r="L22" s="238"/>
    </row>
    <row r="23" spans="1:12">
      <c r="A23" s="238"/>
      <c r="B23" s="238"/>
      <c r="C23" s="238"/>
      <c r="D23" s="238"/>
      <c r="E23" s="238"/>
      <c r="F23" s="238"/>
      <c r="G23" s="238"/>
      <c r="H23" s="239"/>
      <c r="I23" s="238"/>
      <c r="J23" s="263"/>
      <c r="K23" s="263"/>
      <c r="L23" s="238"/>
    </row>
    <row r="24" spans="1:12">
      <c r="A24" s="238"/>
      <c r="B24" s="238"/>
      <c r="C24" s="238"/>
      <c r="D24" s="238"/>
      <c r="E24" s="238"/>
      <c r="F24" s="238"/>
      <c r="G24" s="238"/>
      <c r="H24" s="239"/>
      <c r="I24" s="238"/>
      <c r="J24" s="238"/>
      <c r="K24" s="238"/>
      <c r="L24" s="238"/>
    </row>
    <row r="25" spans="1:12">
      <c r="A25" s="238"/>
      <c r="B25" s="238"/>
      <c r="C25" s="238"/>
      <c r="D25" s="238"/>
      <c r="E25" s="238"/>
      <c r="F25" s="238"/>
      <c r="G25" s="238"/>
      <c r="H25" s="239"/>
      <c r="I25" s="238"/>
      <c r="J25" s="238"/>
      <c r="K25" s="238"/>
      <c r="L25" s="238"/>
    </row>
    <row r="26" spans="1:12">
      <c r="A26" s="238"/>
      <c r="B26" s="238"/>
      <c r="C26" s="238"/>
      <c r="D26" s="238"/>
      <c r="E26" s="238"/>
      <c r="F26" s="238"/>
      <c r="G26" s="238"/>
      <c r="H26" s="239"/>
      <c r="I26" s="238"/>
      <c r="J26" s="238"/>
      <c r="K26" s="238"/>
      <c r="L26" s="238"/>
    </row>
    <row r="27" spans="1:12">
      <c r="A27" s="238"/>
      <c r="B27" s="238"/>
      <c r="C27" s="238"/>
      <c r="D27" s="238"/>
      <c r="E27" s="238"/>
      <c r="F27" s="238"/>
      <c r="G27" s="238"/>
      <c r="H27" s="239"/>
      <c r="I27" s="238"/>
      <c r="J27" s="238"/>
      <c r="K27" s="238"/>
      <c r="L27" s="238"/>
    </row>
    <row r="28" spans="1:12">
      <c r="A28" s="238"/>
      <c r="B28" s="238"/>
      <c r="C28" s="238"/>
      <c r="D28" s="238"/>
      <c r="E28" s="238"/>
      <c r="F28" s="238"/>
      <c r="G28" s="238"/>
      <c r="H28" s="239"/>
      <c r="I28" s="238"/>
      <c r="J28" s="238"/>
      <c r="K28" s="238"/>
      <c r="L28" s="238"/>
    </row>
    <row r="29" spans="1:12">
      <c r="A29" s="238"/>
      <c r="B29" s="238"/>
      <c r="C29" s="238"/>
      <c r="D29" s="238"/>
      <c r="E29" s="238"/>
      <c r="F29" s="238"/>
      <c r="G29" s="238"/>
      <c r="H29" s="239"/>
      <c r="I29" s="238"/>
      <c r="J29" s="238"/>
      <c r="K29" s="238"/>
      <c r="L29" s="238"/>
    </row>
    <row r="30" spans="1:12">
      <c r="A30" s="238"/>
      <c r="B30" s="238"/>
      <c r="C30" s="238"/>
      <c r="D30" s="238"/>
      <c r="E30" s="238"/>
      <c r="F30" s="238"/>
      <c r="G30" s="238"/>
      <c r="H30" s="239"/>
      <c r="I30" s="238"/>
      <c r="J30" s="238"/>
      <c r="K30" s="238"/>
      <c r="L30" s="238"/>
    </row>
    <row r="31" spans="1:12">
      <c r="A31" s="238"/>
      <c r="B31" s="238"/>
      <c r="C31" s="238"/>
      <c r="D31" s="238"/>
      <c r="E31" s="238"/>
      <c r="F31" s="238"/>
      <c r="G31" s="238"/>
      <c r="H31" s="239"/>
      <c r="I31" s="238"/>
      <c r="J31" s="238"/>
      <c r="K31" s="238"/>
      <c r="L31" s="238"/>
    </row>
    <row r="32" spans="1:12">
      <c r="A32" s="238"/>
      <c r="B32" s="238"/>
      <c r="C32" s="238"/>
      <c r="D32" s="238"/>
      <c r="E32" s="238"/>
      <c r="F32" s="238"/>
      <c r="G32" s="238"/>
      <c r="H32" s="239"/>
      <c r="I32" s="238"/>
      <c r="J32" s="238"/>
      <c r="K32" s="238"/>
      <c r="L32" s="238"/>
    </row>
    <row r="33" spans="1:12">
      <c r="A33" s="238"/>
      <c r="B33" s="238"/>
      <c r="C33" s="238"/>
      <c r="D33" s="238"/>
      <c r="E33" s="238"/>
      <c r="F33" s="238"/>
      <c r="G33" s="238"/>
      <c r="H33" s="239"/>
      <c r="I33" s="238"/>
      <c r="J33" s="238"/>
      <c r="K33" s="238"/>
      <c r="L33" s="238"/>
    </row>
    <row r="34" spans="1:12">
      <c r="A34" s="238"/>
      <c r="B34" s="238"/>
      <c r="C34" s="238"/>
      <c r="D34" s="238"/>
      <c r="E34" s="238"/>
      <c r="F34" s="238"/>
      <c r="G34" s="238"/>
      <c r="H34" s="239"/>
      <c r="I34" s="238"/>
      <c r="J34" s="238"/>
      <c r="K34" s="238"/>
      <c r="L34" s="238"/>
    </row>
    <row r="35" spans="1:12">
      <c r="A35" s="238"/>
      <c r="B35" s="238"/>
      <c r="C35" s="238"/>
      <c r="D35" s="238"/>
      <c r="E35" s="238"/>
      <c r="F35" s="238"/>
      <c r="G35" s="238"/>
      <c r="H35" s="239"/>
      <c r="I35" s="238"/>
      <c r="J35" s="238"/>
      <c r="K35" s="238"/>
      <c r="L35" s="238"/>
    </row>
    <row r="36" spans="1:12">
      <c r="A36" s="238"/>
      <c r="B36" s="238"/>
      <c r="C36" s="238"/>
      <c r="D36" s="238"/>
      <c r="E36" s="238"/>
      <c r="F36" s="238"/>
      <c r="G36" s="238"/>
      <c r="H36" s="239"/>
      <c r="I36" s="238"/>
      <c r="J36" s="238"/>
      <c r="K36" s="238"/>
      <c r="L36" s="238"/>
    </row>
    <row r="37" spans="1:12">
      <c r="A37" s="238"/>
      <c r="B37" s="238"/>
      <c r="C37" s="238"/>
      <c r="D37" s="238"/>
      <c r="E37" s="238"/>
      <c r="F37" s="238"/>
      <c r="G37" s="238"/>
      <c r="H37" s="239"/>
      <c r="I37" s="238"/>
      <c r="J37" s="238"/>
      <c r="K37" s="238"/>
      <c r="L37" s="238"/>
    </row>
    <row r="38" spans="1:12">
      <c r="A38" s="238"/>
      <c r="B38" s="238"/>
      <c r="C38" s="238"/>
      <c r="D38" s="238"/>
      <c r="E38" s="238"/>
      <c r="F38" s="238"/>
      <c r="G38" s="238"/>
      <c r="H38" s="239"/>
      <c r="I38" s="238"/>
      <c r="J38" s="238"/>
      <c r="K38" s="238"/>
      <c r="L38" s="238"/>
    </row>
    <row r="39" spans="1:12">
      <c r="A39" s="238"/>
      <c r="B39" s="238"/>
      <c r="C39" s="238"/>
      <c r="D39" s="238"/>
      <c r="E39" s="238"/>
      <c r="F39" s="238"/>
      <c r="G39" s="238"/>
      <c r="H39" s="239"/>
      <c r="I39" s="238"/>
      <c r="J39" s="238"/>
      <c r="K39" s="238"/>
      <c r="L39" s="238"/>
    </row>
    <row r="40" spans="1:12">
      <c r="A40" s="238"/>
      <c r="B40" s="238"/>
      <c r="C40" s="238"/>
      <c r="D40" s="238"/>
      <c r="E40" s="238"/>
      <c r="F40" s="238"/>
      <c r="G40" s="238"/>
      <c r="H40" s="239"/>
      <c r="I40" s="238"/>
      <c r="J40" s="238"/>
      <c r="K40" s="238"/>
      <c r="L40" s="238"/>
    </row>
    <row r="41" spans="1:12">
      <c r="A41" s="238"/>
      <c r="B41" s="238"/>
      <c r="C41" s="238"/>
      <c r="D41" s="238"/>
      <c r="E41" s="238"/>
      <c r="F41" s="238"/>
      <c r="G41" s="238"/>
      <c r="H41" s="239"/>
      <c r="I41" s="238"/>
      <c r="J41" s="238"/>
      <c r="K41" s="238"/>
      <c r="L41" s="238"/>
    </row>
    <row r="42" spans="1:12">
      <c r="A42" s="238"/>
      <c r="B42" s="238"/>
      <c r="C42" s="238"/>
      <c r="D42" s="238"/>
      <c r="E42" s="238"/>
      <c r="F42" s="238"/>
      <c r="G42" s="238"/>
      <c r="H42" s="239"/>
      <c r="I42" s="238"/>
      <c r="J42" s="238"/>
      <c r="K42" s="238"/>
      <c r="L42" s="238"/>
    </row>
    <row r="43" spans="1:12">
      <c r="A43" s="238"/>
      <c r="B43" s="238"/>
      <c r="C43" s="238"/>
      <c r="D43" s="238"/>
      <c r="E43" s="238"/>
      <c r="F43" s="238"/>
      <c r="G43" s="238"/>
      <c r="H43" s="239"/>
      <c r="I43" s="238"/>
      <c r="J43" s="238"/>
      <c r="K43" s="238"/>
      <c r="L43" s="238"/>
    </row>
    <row r="44" spans="1:12">
      <c r="A44" s="238"/>
      <c r="B44" s="238"/>
      <c r="C44" s="238"/>
      <c r="D44" s="238"/>
      <c r="E44" s="238"/>
      <c r="F44" s="238"/>
      <c r="G44" s="238"/>
      <c r="H44" s="239"/>
      <c r="I44" s="238"/>
      <c r="J44" s="238"/>
      <c r="K44" s="238"/>
      <c r="L44" s="238"/>
    </row>
    <row r="45" spans="1:12">
      <c r="A45" s="238"/>
      <c r="B45" s="238"/>
      <c r="C45" s="238"/>
      <c r="D45" s="238"/>
      <c r="E45" s="238"/>
      <c r="F45" s="238"/>
      <c r="G45" s="238"/>
      <c r="H45" s="239"/>
      <c r="I45" s="238"/>
      <c r="J45" s="238"/>
      <c r="K45" s="238"/>
      <c r="L45" s="238"/>
    </row>
    <row r="46" spans="1:12">
      <c r="A46" s="238"/>
      <c r="B46" s="238"/>
      <c r="C46" s="238"/>
      <c r="D46" s="238"/>
      <c r="E46" s="238"/>
      <c r="F46" s="238"/>
      <c r="G46" s="238"/>
      <c r="H46" s="239"/>
      <c r="I46" s="238"/>
      <c r="J46" s="238"/>
      <c r="K46" s="238"/>
      <c r="L46" s="238"/>
    </row>
    <row r="47" spans="1:12">
      <c r="A47" s="238"/>
      <c r="B47" s="238"/>
      <c r="C47" s="238"/>
      <c r="D47" s="238"/>
      <c r="E47" s="238"/>
      <c r="F47" s="238"/>
      <c r="G47" s="238"/>
      <c r="H47" s="239"/>
      <c r="I47" s="238"/>
      <c r="J47" s="238"/>
      <c r="K47" s="238"/>
      <c r="L47" s="238"/>
    </row>
    <row r="48" spans="1:12">
      <c r="A48" s="238"/>
      <c r="B48" s="238"/>
      <c r="C48" s="238"/>
      <c r="D48" s="238"/>
      <c r="E48" s="238"/>
      <c r="F48" s="238"/>
      <c r="G48" s="238"/>
      <c r="H48" s="239"/>
      <c r="I48" s="238"/>
      <c r="J48" s="238"/>
      <c r="K48" s="238"/>
      <c r="L48" s="238"/>
    </row>
    <row r="49" spans="1:12">
      <c r="A49" s="238"/>
      <c r="B49" s="238"/>
      <c r="C49" s="238"/>
      <c r="D49" s="238"/>
      <c r="E49" s="238"/>
      <c r="F49" s="238"/>
      <c r="G49" s="238"/>
      <c r="H49" s="239"/>
      <c r="I49" s="238"/>
      <c r="J49" s="238"/>
      <c r="K49" s="238"/>
      <c r="L49" s="238"/>
    </row>
    <row r="50" spans="1:12">
      <c r="A50" s="238"/>
      <c r="B50" s="238"/>
      <c r="C50" s="238"/>
      <c r="D50" s="238"/>
      <c r="E50" s="238"/>
      <c r="F50" s="238"/>
      <c r="G50" s="238"/>
      <c r="H50" s="239"/>
      <c r="I50" s="238"/>
      <c r="J50" s="238"/>
      <c r="K50" s="238"/>
      <c r="L50" s="238"/>
    </row>
    <row r="51" spans="1:12">
      <c r="A51" s="238"/>
      <c r="B51" s="238"/>
      <c r="C51" s="238"/>
      <c r="D51" s="238"/>
      <c r="E51" s="238"/>
      <c r="F51" s="238"/>
      <c r="G51" s="238"/>
      <c r="H51" s="239"/>
      <c r="I51" s="238"/>
      <c r="J51" s="238"/>
      <c r="K51" s="238"/>
      <c r="L51" s="238"/>
    </row>
    <row r="52" spans="1:12">
      <c r="A52" s="238"/>
      <c r="B52" s="238"/>
      <c r="C52" s="238"/>
      <c r="D52" s="238"/>
      <c r="E52" s="238"/>
      <c r="F52" s="238"/>
      <c r="G52" s="238"/>
      <c r="H52" s="239"/>
      <c r="I52" s="238"/>
      <c r="J52" s="238"/>
      <c r="K52" s="238"/>
      <c r="L52" s="238"/>
    </row>
    <row r="53" spans="1:12">
      <c r="A53" s="238"/>
      <c r="B53" s="238"/>
      <c r="C53" s="238"/>
      <c r="D53" s="238"/>
      <c r="E53" s="238"/>
      <c r="F53" s="238"/>
      <c r="G53" s="238"/>
      <c r="H53" s="239"/>
      <c r="I53" s="238"/>
      <c r="J53" s="238"/>
      <c r="K53" s="238"/>
      <c r="L53" s="238"/>
    </row>
    <row r="54" spans="1:12">
      <c r="A54" s="238"/>
      <c r="B54" s="238"/>
      <c r="C54" s="238"/>
      <c r="D54" s="238"/>
      <c r="E54" s="238"/>
      <c r="F54" s="238"/>
      <c r="G54" s="238"/>
      <c r="H54" s="239"/>
      <c r="I54" s="238"/>
      <c r="J54" s="238"/>
      <c r="K54" s="238"/>
      <c r="L54" s="238"/>
    </row>
    <row r="55" spans="1:12">
      <c r="A55" s="238"/>
      <c r="B55" s="238"/>
      <c r="C55" s="238"/>
      <c r="D55" s="238"/>
      <c r="E55" s="238"/>
      <c r="F55" s="238"/>
      <c r="G55" s="238"/>
      <c r="H55" s="239"/>
      <c r="I55" s="238"/>
      <c r="J55" s="238"/>
      <c r="K55" s="238"/>
      <c r="L55" s="238"/>
    </row>
    <row r="56" spans="1:12">
      <c r="A56" s="238"/>
      <c r="B56" s="238"/>
      <c r="C56" s="238"/>
      <c r="D56" s="238"/>
      <c r="E56" s="238"/>
      <c r="F56" s="238"/>
      <c r="G56" s="238"/>
      <c r="H56" s="239"/>
      <c r="I56" s="238"/>
      <c r="J56" s="238"/>
      <c r="K56" s="238"/>
      <c r="L56" s="238"/>
    </row>
    <row r="57" spans="1:12">
      <c r="A57" s="238"/>
      <c r="B57" s="238"/>
      <c r="C57" s="238"/>
      <c r="D57" s="238"/>
      <c r="E57" s="238"/>
      <c r="F57" s="238"/>
      <c r="G57" s="238"/>
      <c r="H57" s="239"/>
      <c r="I57" s="238"/>
      <c r="J57" s="238"/>
      <c r="K57" s="238"/>
      <c r="L57" s="238"/>
    </row>
    <row r="58" spans="1:12">
      <c r="A58" s="238"/>
      <c r="B58" s="238"/>
      <c r="C58" s="238"/>
      <c r="D58" s="238"/>
      <c r="E58" s="238"/>
      <c r="F58" s="238"/>
      <c r="G58" s="238"/>
      <c r="H58" s="239"/>
      <c r="I58" s="238"/>
      <c r="J58" s="238"/>
      <c r="K58" s="238"/>
      <c r="L58" s="238"/>
    </row>
    <row r="59" spans="1:12">
      <c r="A59" s="238"/>
      <c r="B59" s="238"/>
      <c r="C59" s="238"/>
      <c r="D59" s="238"/>
      <c r="E59" s="238"/>
      <c r="F59" s="238"/>
      <c r="G59" s="238"/>
      <c r="H59" s="239"/>
      <c r="I59" s="238"/>
      <c r="J59" s="238"/>
      <c r="K59" s="238"/>
      <c r="L59" s="238"/>
    </row>
    <row r="60" spans="1:12">
      <c r="A60" s="238"/>
      <c r="B60" s="238"/>
      <c r="C60" s="238"/>
      <c r="D60" s="238"/>
      <c r="E60" s="238"/>
      <c r="F60" s="238"/>
      <c r="G60" s="238"/>
      <c r="H60" s="239"/>
      <c r="I60" s="238"/>
      <c r="J60" s="238"/>
      <c r="K60" s="238"/>
      <c r="L60" s="238"/>
    </row>
    <row r="61" spans="1:12">
      <c r="A61" s="238"/>
      <c r="B61" s="238"/>
      <c r="C61" s="238"/>
      <c r="D61" s="238"/>
      <c r="E61" s="238"/>
      <c r="F61" s="238"/>
      <c r="G61" s="238"/>
      <c r="H61" s="239"/>
      <c r="I61" s="238"/>
      <c r="J61" s="238"/>
      <c r="K61" s="238"/>
      <c r="L61" s="238"/>
    </row>
    <row r="62" spans="1:12">
      <c r="A62" s="238"/>
      <c r="B62" s="238"/>
      <c r="C62" s="238"/>
      <c r="D62" s="238"/>
      <c r="E62" s="238"/>
      <c r="F62" s="238"/>
      <c r="G62" s="238"/>
      <c r="H62" s="239"/>
      <c r="I62" s="238"/>
      <c r="J62" s="238"/>
      <c r="K62" s="238"/>
      <c r="L62" s="238"/>
    </row>
    <row r="63" spans="1:12">
      <c r="A63" s="238"/>
      <c r="B63" s="238"/>
      <c r="C63" s="238"/>
      <c r="D63" s="238"/>
      <c r="E63" s="238"/>
      <c r="F63" s="238"/>
      <c r="G63" s="238"/>
      <c r="H63" s="239"/>
      <c r="I63" s="238"/>
      <c r="J63" s="238"/>
      <c r="K63" s="238"/>
      <c r="L63" s="238"/>
    </row>
    <row r="64" spans="1:12">
      <c r="A64" s="238"/>
      <c r="B64" s="238"/>
      <c r="C64" s="238"/>
      <c r="D64" s="238"/>
      <c r="E64" s="238"/>
      <c r="F64" s="238"/>
      <c r="G64" s="238"/>
      <c r="H64" s="239"/>
      <c r="I64" s="238"/>
      <c r="J64" s="238"/>
      <c r="K64" s="238"/>
      <c r="L64" s="238"/>
    </row>
    <row r="65" spans="1:12">
      <c r="A65" s="238"/>
      <c r="B65" s="238"/>
      <c r="C65" s="238"/>
      <c r="D65" s="238"/>
      <c r="E65" s="238"/>
      <c r="F65" s="238"/>
      <c r="G65" s="238"/>
      <c r="H65" s="239"/>
      <c r="I65" s="238"/>
      <c r="J65" s="238"/>
      <c r="K65" s="238"/>
      <c r="L65" s="238"/>
    </row>
    <row r="66" spans="1:12">
      <c r="A66" s="238"/>
      <c r="B66" s="238"/>
      <c r="C66" s="238"/>
      <c r="D66" s="238"/>
      <c r="E66" s="238"/>
      <c r="F66" s="238"/>
      <c r="G66" s="238"/>
      <c r="H66" s="239"/>
      <c r="I66" s="238"/>
      <c r="J66" s="238"/>
      <c r="K66" s="238"/>
      <c r="L66" s="238"/>
    </row>
    <row r="67" spans="1:12">
      <c r="A67" s="238"/>
      <c r="B67" s="238"/>
      <c r="C67" s="238"/>
      <c r="D67" s="238"/>
      <c r="E67" s="238"/>
      <c r="F67" s="238"/>
      <c r="G67" s="238"/>
      <c r="H67" s="239"/>
      <c r="I67" s="238"/>
      <c r="J67" s="238"/>
      <c r="K67" s="238"/>
      <c r="L67" s="238"/>
    </row>
    <row r="68" spans="1:12">
      <c r="A68" s="238"/>
      <c r="B68" s="238"/>
      <c r="C68" s="238"/>
      <c r="D68" s="238"/>
      <c r="E68" s="238"/>
      <c r="F68" s="238"/>
      <c r="G68" s="238"/>
      <c r="H68" s="239"/>
      <c r="I68" s="238"/>
      <c r="J68" s="238"/>
      <c r="K68" s="238"/>
      <c r="L68" s="238"/>
    </row>
    <row r="69" spans="1:12">
      <c r="A69" s="238"/>
      <c r="B69" s="238"/>
      <c r="C69" s="238"/>
      <c r="D69" s="238"/>
      <c r="E69" s="238"/>
      <c r="F69" s="238"/>
      <c r="G69" s="238"/>
      <c r="H69" s="239"/>
      <c r="I69" s="238"/>
      <c r="J69" s="238"/>
      <c r="K69" s="238"/>
      <c r="L69" s="238"/>
    </row>
    <row r="70" spans="1:12">
      <c r="A70" s="238"/>
      <c r="B70" s="238"/>
      <c r="C70" s="238"/>
      <c r="D70" s="238"/>
      <c r="E70" s="238"/>
      <c r="F70" s="238"/>
      <c r="G70" s="238"/>
      <c r="H70" s="239"/>
      <c r="I70" s="238"/>
      <c r="J70" s="238"/>
      <c r="K70" s="238"/>
      <c r="L70" s="238"/>
    </row>
    <row r="71" spans="1:12">
      <c r="A71" s="238"/>
      <c r="B71" s="238"/>
      <c r="C71" s="238"/>
      <c r="D71" s="238"/>
      <c r="E71" s="238"/>
      <c r="F71" s="238"/>
      <c r="G71" s="238"/>
      <c r="H71" s="239"/>
      <c r="I71" s="238"/>
      <c r="J71" s="238"/>
      <c r="K71" s="238"/>
      <c r="L71" s="238"/>
    </row>
    <row r="72" spans="1:12">
      <c r="A72" s="238"/>
      <c r="B72" s="238"/>
      <c r="C72" s="238"/>
      <c r="D72" s="238"/>
      <c r="E72" s="238"/>
      <c r="F72" s="238"/>
      <c r="G72" s="238"/>
      <c r="H72" s="239"/>
      <c r="I72" s="238"/>
      <c r="J72" s="238"/>
      <c r="K72" s="238"/>
      <c r="L72" s="238"/>
    </row>
    <row r="73" spans="1:12">
      <c r="A73" s="238"/>
      <c r="B73" s="238"/>
      <c r="C73" s="238"/>
      <c r="D73" s="238"/>
      <c r="E73" s="238"/>
      <c r="F73" s="238"/>
      <c r="G73" s="238"/>
      <c r="H73" s="239"/>
      <c r="I73" s="238"/>
      <c r="J73" s="238"/>
      <c r="K73" s="238"/>
      <c r="L73" s="238"/>
    </row>
    <row r="74" spans="1:12">
      <c r="A74" s="238"/>
      <c r="B74" s="238"/>
      <c r="C74" s="238"/>
      <c r="D74" s="238"/>
      <c r="E74" s="238"/>
      <c r="F74" s="238"/>
      <c r="G74" s="238"/>
      <c r="H74" s="239"/>
      <c r="I74" s="238"/>
      <c r="J74" s="238"/>
      <c r="K74" s="238"/>
      <c r="L74" s="238"/>
    </row>
    <row r="75" spans="1:12">
      <c r="A75" s="238"/>
      <c r="B75" s="238"/>
      <c r="C75" s="238"/>
      <c r="D75" s="238"/>
      <c r="E75" s="238"/>
      <c r="F75" s="238"/>
      <c r="G75" s="238"/>
      <c r="H75" s="239"/>
      <c r="I75" s="238"/>
      <c r="J75" s="238"/>
      <c r="K75" s="238"/>
      <c r="L75" s="238"/>
    </row>
    <row r="76" spans="1:12">
      <c r="A76" s="238"/>
      <c r="B76" s="238"/>
      <c r="C76" s="238"/>
      <c r="D76" s="238"/>
      <c r="E76" s="238"/>
      <c r="F76" s="238"/>
      <c r="G76" s="238"/>
      <c r="H76" s="239"/>
      <c r="I76" s="238"/>
      <c r="J76" s="238"/>
      <c r="K76" s="238"/>
      <c r="L76" s="238"/>
    </row>
    <row r="77" spans="1:12">
      <c r="A77" s="238"/>
      <c r="B77" s="238"/>
      <c r="C77" s="238"/>
      <c r="D77" s="238"/>
      <c r="E77" s="238"/>
      <c r="F77" s="238"/>
      <c r="G77" s="238"/>
      <c r="H77" s="239"/>
      <c r="I77" s="238"/>
      <c r="J77" s="238"/>
      <c r="K77" s="238"/>
      <c r="L77" s="238"/>
    </row>
    <row r="78" spans="1:12">
      <c r="A78" s="238"/>
      <c r="B78" s="238"/>
      <c r="C78" s="238"/>
      <c r="D78" s="238"/>
      <c r="E78" s="238"/>
      <c r="F78" s="238"/>
      <c r="G78" s="238"/>
      <c r="H78" s="239"/>
      <c r="I78" s="238"/>
      <c r="J78" s="238"/>
      <c r="K78" s="238"/>
      <c r="L78" s="238"/>
    </row>
    <row r="79" spans="1:12">
      <c r="A79" s="238"/>
      <c r="B79" s="238"/>
      <c r="C79" s="238"/>
      <c r="D79" s="238"/>
      <c r="E79" s="238"/>
      <c r="F79" s="238"/>
      <c r="G79" s="238"/>
      <c r="H79" s="239"/>
      <c r="I79" s="238"/>
      <c r="J79" s="238"/>
      <c r="K79" s="238"/>
      <c r="L79" s="238"/>
    </row>
    <row r="80" spans="1:12">
      <c r="A80" s="238"/>
      <c r="B80" s="238"/>
      <c r="C80" s="238"/>
      <c r="D80" s="238"/>
      <c r="E80" s="238"/>
      <c r="F80" s="238"/>
      <c r="G80" s="238"/>
      <c r="H80" s="239"/>
      <c r="I80" s="238"/>
      <c r="J80" s="238"/>
      <c r="K80" s="238"/>
      <c r="L80" s="238"/>
    </row>
    <row r="81" spans="1:12">
      <c r="A81" s="238"/>
      <c r="B81" s="238"/>
      <c r="C81" s="238"/>
      <c r="D81" s="238"/>
      <c r="E81" s="238"/>
      <c r="F81" s="238"/>
      <c r="G81" s="238"/>
      <c r="H81" s="239"/>
      <c r="I81" s="238"/>
      <c r="J81" s="238"/>
      <c r="K81" s="238"/>
      <c r="L81" s="238"/>
    </row>
    <row r="82" spans="1:12">
      <c r="A82" s="238"/>
      <c r="B82" s="238"/>
      <c r="C82" s="238"/>
      <c r="D82" s="238"/>
      <c r="E82" s="238"/>
      <c r="F82" s="238"/>
      <c r="G82" s="238"/>
      <c r="H82" s="239"/>
      <c r="I82" s="238"/>
      <c r="J82" s="238"/>
      <c r="K82" s="238"/>
      <c r="L82" s="238"/>
    </row>
    <row r="83" spans="1:12">
      <c r="A83" s="238"/>
      <c r="B83" s="238"/>
      <c r="C83" s="238"/>
      <c r="D83" s="238"/>
      <c r="E83" s="238"/>
      <c r="F83" s="238"/>
      <c r="G83" s="238"/>
      <c r="H83" s="239"/>
      <c r="I83" s="238"/>
      <c r="J83" s="238"/>
      <c r="K83" s="238"/>
      <c r="L83" s="238"/>
    </row>
    <row r="84" spans="1:12">
      <c r="A84" s="238"/>
      <c r="B84" s="238"/>
      <c r="C84" s="238"/>
      <c r="D84" s="238"/>
      <c r="E84" s="238"/>
      <c r="F84" s="238"/>
      <c r="G84" s="238"/>
      <c r="H84" s="239"/>
      <c r="I84" s="238"/>
      <c r="J84" s="238"/>
      <c r="K84" s="238"/>
      <c r="L84" s="238"/>
    </row>
    <row r="85" spans="1:12">
      <c r="A85" s="238"/>
      <c r="B85" s="238"/>
      <c r="C85" s="238"/>
      <c r="D85" s="238"/>
      <c r="E85" s="238"/>
      <c r="F85" s="238"/>
      <c r="G85" s="238"/>
      <c r="H85" s="239"/>
      <c r="I85" s="238"/>
      <c r="J85" s="238"/>
      <c r="K85" s="238"/>
      <c r="L85" s="238"/>
    </row>
    <row r="86" spans="1:12">
      <c r="A86" s="238"/>
      <c r="B86" s="238"/>
      <c r="C86" s="238"/>
      <c r="D86" s="238"/>
      <c r="E86" s="238"/>
      <c r="F86" s="238"/>
      <c r="G86" s="238"/>
      <c r="H86" s="239"/>
      <c r="I86" s="238"/>
      <c r="J86" s="238"/>
      <c r="K86" s="238"/>
      <c r="L86" s="238"/>
    </row>
    <row r="87" spans="1:12">
      <c r="A87" s="238"/>
      <c r="B87" s="238"/>
      <c r="C87" s="238"/>
      <c r="D87" s="238"/>
      <c r="E87" s="238"/>
      <c r="F87" s="238"/>
      <c r="G87" s="238"/>
      <c r="H87" s="239"/>
      <c r="I87" s="238"/>
      <c r="J87" s="238"/>
      <c r="K87" s="238"/>
      <c r="L87" s="238"/>
    </row>
    <row r="88" spans="1:12">
      <c r="A88" s="238"/>
      <c r="B88" s="238"/>
      <c r="C88" s="238"/>
      <c r="D88" s="238"/>
      <c r="E88" s="238"/>
      <c r="F88" s="238"/>
      <c r="G88" s="238"/>
      <c r="H88" s="239"/>
      <c r="I88" s="238"/>
      <c r="J88" s="238"/>
      <c r="K88" s="238"/>
      <c r="L88" s="238"/>
    </row>
    <row r="89" spans="1:12">
      <c r="A89" s="238"/>
      <c r="B89" s="238"/>
      <c r="C89" s="238"/>
      <c r="D89" s="238"/>
      <c r="E89" s="238"/>
      <c r="F89" s="238"/>
      <c r="G89" s="238"/>
      <c r="H89" s="239"/>
      <c r="I89" s="238"/>
      <c r="J89" s="238"/>
      <c r="K89" s="238"/>
      <c r="L89" s="238"/>
    </row>
    <row r="90" spans="1:12">
      <c r="A90" s="238"/>
      <c r="B90" s="238"/>
      <c r="C90" s="238"/>
      <c r="D90" s="238"/>
      <c r="E90" s="238"/>
      <c r="F90" s="238"/>
      <c r="G90" s="238"/>
      <c r="H90" s="239"/>
      <c r="I90" s="238"/>
      <c r="J90" s="238"/>
      <c r="K90" s="238"/>
      <c r="L90" s="238"/>
    </row>
    <row r="91" spans="1:12">
      <c r="A91" s="238"/>
      <c r="B91" s="238"/>
      <c r="C91" s="238"/>
      <c r="D91" s="238"/>
      <c r="E91" s="238"/>
      <c r="F91" s="238"/>
      <c r="G91" s="238"/>
      <c r="H91" s="239"/>
      <c r="I91" s="238"/>
      <c r="J91" s="238"/>
      <c r="K91" s="238"/>
      <c r="L91" s="238"/>
    </row>
    <row r="92" spans="1:12">
      <c r="A92" s="238"/>
      <c r="B92" s="238"/>
      <c r="C92" s="238"/>
      <c r="D92" s="238"/>
      <c r="E92" s="238"/>
      <c r="F92" s="238"/>
      <c r="G92" s="238"/>
      <c r="H92" s="239"/>
      <c r="I92" s="238"/>
      <c r="J92" s="238"/>
      <c r="K92" s="238"/>
      <c r="L92" s="238"/>
    </row>
    <row r="93" spans="1:12">
      <c r="A93" s="238"/>
      <c r="B93" s="238"/>
      <c r="C93" s="238"/>
      <c r="D93" s="238"/>
      <c r="E93" s="238"/>
      <c r="F93" s="238"/>
      <c r="G93" s="238"/>
      <c r="H93" s="239"/>
      <c r="I93" s="238"/>
      <c r="J93" s="238"/>
      <c r="K93" s="238"/>
      <c r="L93" s="238"/>
    </row>
    <row r="94" spans="1:12">
      <c r="A94" s="238"/>
      <c r="B94" s="238"/>
      <c r="C94" s="238"/>
      <c r="D94" s="238"/>
      <c r="E94" s="238"/>
      <c r="F94" s="238"/>
      <c r="G94" s="238"/>
      <c r="H94" s="239"/>
      <c r="I94" s="238"/>
      <c r="J94" s="238"/>
      <c r="K94" s="238"/>
      <c r="L94" s="238"/>
    </row>
    <row r="95" spans="1:12">
      <c r="A95" s="238"/>
      <c r="B95" s="238"/>
      <c r="C95" s="238"/>
      <c r="D95" s="238"/>
      <c r="E95" s="238"/>
      <c r="F95" s="238"/>
      <c r="G95" s="238"/>
      <c r="H95" s="239"/>
      <c r="I95" s="238"/>
      <c r="J95" s="238"/>
      <c r="K95" s="238"/>
      <c r="L95" s="238"/>
    </row>
    <row r="96" spans="1:12">
      <c r="A96" s="238"/>
      <c r="B96" s="238"/>
      <c r="C96" s="238"/>
      <c r="D96" s="238"/>
      <c r="E96" s="238"/>
      <c r="F96" s="238"/>
      <c r="G96" s="238"/>
      <c r="H96" s="239"/>
      <c r="I96" s="238"/>
      <c r="J96" s="238"/>
      <c r="K96" s="238"/>
      <c r="L96" s="238"/>
    </row>
    <row r="97" spans="1:12">
      <c r="A97" s="238"/>
      <c r="B97" s="238"/>
      <c r="C97" s="238"/>
      <c r="D97" s="238"/>
      <c r="E97" s="238"/>
      <c r="F97" s="238"/>
      <c r="G97" s="238"/>
      <c r="H97" s="239"/>
      <c r="I97" s="238"/>
      <c r="J97" s="238"/>
      <c r="K97" s="238"/>
      <c r="L97" s="238"/>
    </row>
    <row r="98" spans="1:12">
      <c r="A98" s="238"/>
      <c r="B98" s="238"/>
      <c r="C98" s="238"/>
      <c r="D98" s="238"/>
      <c r="E98" s="238"/>
      <c r="F98" s="238"/>
      <c r="G98" s="238"/>
      <c r="H98" s="239"/>
      <c r="I98" s="238"/>
      <c r="J98" s="238"/>
      <c r="K98" s="238"/>
      <c r="L98" s="238"/>
    </row>
    <row r="99" spans="1:12">
      <c r="A99" s="238"/>
      <c r="B99" s="238"/>
      <c r="C99" s="238"/>
      <c r="D99" s="238"/>
      <c r="E99" s="238"/>
      <c r="F99" s="238"/>
      <c r="G99" s="238"/>
      <c r="H99" s="239"/>
      <c r="I99" s="238"/>
      <c r="J99" s="238"/>
      <c r="K99" s="238"/>
      <c r="L99" s="238"/>
    </row>
    <row r="100" spans="1:12">
      <c r="A100" s="238"/>
      <c r="B100" s="238"/>
      <c r="C100" s="238"/>
      <c r="D100" s="238"/>
      <c r="E100" s="238"/>
      <c r="F100" s="238"/>
      <c r="G100" s="238"/>
      <c r="H100" s="239"/>
      <c r="I100" s="238"/>
      <c r="J100" s="238"/>
      <c r="K100" s="238"/>
      <c r="L100" s="238"/>
    </row>
    <row r="101" spans="1:12">
      <c r="A101" s="238"/>
      <c r="B101" s="238"/>
      <c r="C101" s="238"/>
      <c r="D101" s="238"/>
      <c r="E101" s="238"/>
      <c r="F101" s="238"/>
      <c r="G101" s="238"/>
      <c r="H101" s="239"/>
      <c r="I101" s="238"/>
      <c r="J101" s="238"/>
      <c r="K101" s="238"/>
      <c r="L101" s="238"/>
    </row>
    <row r="102" spans="1:12">
      <c r="A102" s="238"/>
      <c r="B102" s="238"/>
      <c r="C102" s="238"/>
      <c r="D102" s="238"/>
      <c r="E102" s="238"/>
      <c r="F102" s="238"/>
      <c r="G102" s="238"/>
      <c r="H102" s="239"/>
      <c r="I102" s="238"/>
      <c r="J102" s="238"/>
      <c r="K102" s="238"/>
      <c r="L102" s="238"/>
    </row>
    <row r="103" spans="1:12">
      <c r="A103" s="238"/>
      <c r="B103" s="238"/>
      <c r="C103" s="238"/>
      <c r="D103" s="238"/>
      <c r="E103" s="238"/>
      <c r="F103" s="238"/>
      <c r="G103" s="238"/>
      <c r="H103" s="239"/>
      <c r="I103" s="238"/>
      <c r="J103" s="238"/>
      <c r="K103" s="238"/>
      <c r="L103" s="238"/>
    </row>
    <row r="104" spans="1:12">
      <c r="A104" s="238"/>
      <c r="B104" s="238"/>
      <c r="C104" s="238"/>
      <c r="D104" s="238"/>
      <c r="E104" s="238"/>
      <c r="F104" s="238"/>
      <c r="G104" s="238"/>
      <c r="H104" s="239"/>
      <c r="I104" s="238"/>
      <c r="J104" s="238"/>
      <c r="K104" s="238"/>
      <c r="L104" s="238"/>
    </row>
  </sheetData>
  <sheetProtection algorithmName="SHA-512" hashValue="tVPqfd2OIxO5jQhzVX2kZV6TO1s0QODtZ4p1dDIOqs25tFIcb/vAR8PNDzCkH2rCChw9UZf22nZhtxidbCTwEA==" saltValue="YpgkSomLI6ysfvzTfe83Tw==" spinCount="100000" sheet="1" objects="1" scenarios="1" formatCells="0" formatRows="0"/>
  <mergeCells count="2">
    <mergeCell ref="D20:E20"/>
    <mergeCell ref="K20:K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BV66"/>
  <sheetViews>
    <sheetView topLeftCell="BE1" workbookViewId="0">
      <selection activeCell="BS8" sqref="BS8"/>
    </sheetView>
  </sheetViews>
  <sheetFormatPr defaultColWidth="8.85546875" defaultRowHeight="15"/>
  <cols>
    <col min="1" max="1" width="38" bestFit="1" customWidth="1"/>
    <col min="2" max="2" width="94.140625" customWidth="1"/>
    <col min="3" max="3" width="13.42578125" customWidth="1"/>
    <col min="4" max="4" width="22.7109375" bestFit="1" customWidth="1"/>
    <col min="5" max="5" width="22.7109375" customWidth="1"/>
    <col min="6" max="6" width="13.42578125" customWidth="1"/>
    <col min="7" max="7" width="24.85546875" bestFit="1" customWidth="1"/>
    <col min="8" max="9" width="13.42578125" customWidth="1"/>
    <col min="13" max="13" width="40.140625" bestFit="1" customWidth="1"/>
    <col min="14" max="14" width="9.140625" customWidth="1"/>
    <col min="15" max="15" width="10.7109375" customWidth="1"/>
    <col min="16" max="16" width="9.140625" customWidth="1"/>
    <col min="17" max="17" width="35.7109375" customWidth="1"/>
    <col min="18" max="18" width="17.42578125" bestFit="1" customWidth="1"/>
    <col min="19" max="19" width="35.7109375" bestFit="1" customWidth="1"/>
    <col min="20" max="20" width="34.7109375" bestFit="1" customWidth="1"/>
    <col min="22" max="22" width="42.7109375" bestFit="1" customWidth="1"/>
    <col min="23" max="23" width="15.85546875" bestFit="1" customWidth="1"/>
    <col min="25" max="25" width="43" bestFit="1" customWidth="1"/>
    <col min="26" max="26" width="12.140625" bestFit="1" customWidth="1"/>
    <col min="27" max="27" width="43" bestFit="1" customWidth="1"/>
    <col min="28" max="28" width="10.140625" bestFit="1" customWidth="1"/>
    <col min="29" max="29" width="10.42578125" customWidth="1"/>
    <col min="31" max="31" width="24.140625" bestFit="1" customWidth="1"/>
    <col min="43" max="43" width="11.140625" customWidth="1"/>
    <col min="56" max="56" width="11.140625" customWidth="1"/>
    <col min="62" max="62" width="33" bestFit="1" customWidth="1"/>
    <col min="68" max="68" width="10.85546875" customWidth="1"/>
  </cols>
  <sheetData>
    <row r="1" spans="1:74" ht="15.75" thickBot="1">
      <c r="A1" s="75" t="s">
        <v>81</v>
      </c>
      <c r="B1" s="75"/>
      <c r="C1" s="75"/>
      <c r="D1" s="75" t="s">
        <v>37</v>
      </c>
      <c r="E1" s="75" t="s">
        <v>39</v>
      </c>
      <c r="F1" s="75"/>
      <c r="G1" s="75" t="s">
        <v>49</v>
      </c>
      <c r="H1" s="75" t="s">
        <v>54</v>
      </c>
      <c r="I1" s="75"/>
      <c r="M1" s="73" t="s">
        <v>16</v>
      </c>
      <c r="Q1" s="74" t="s">
        <v>17</v>
      </c>
      <c r="R1" t="s">
        <v>26</v>
      </c>
      <c r="S1" t="s">
        <v>27</v>
      </c>
      <c r="T1" t="s">
        <v>28</v>
      </c>
      <c r="V1" s="74" t="s">
        <v>72</v>
      </c>
      <c r="W1" s="72" t="s">
        <v>66</v>
      </c>
      <c r="Y1" s="74" t="s">
        <v>73</v>
      </c>
      <c r="AA1" s="74" t="s">
        <v>75</v>
      </c>
      <c r="AB1" s="74" t="s">
        <v>39</v>
      </c>
      <c r="AE1" s="73" t="s">
        <v>87</v>
      </c>
      <c r="AI1" t="s">
        <v>296</v>
      </c>
      <c r="AL1" t="s">
        <v>227</v>
      </c>
      <c r="AQ1" t="s">
        <v>354</v>
      </c>
      <c r="AX1" t="s">
        <v>329</v>
      </c>
      <c r="BD1" t="s">
        <v>353</v>
      </c>
      <c r="BJ1" s="72" t="s">
        <v>331</v>
      </c>
      <c r="BM1" s="366" t="s">
        <v>346</v>
      </c>
      <c r="BQ1" t="s">
        <v>26</v>
      </c>
      <c r="BR1" t="s">
        <v>27</v>
      </c>
      <c r="BS1" t="s">
        <v>28</v>
      </c>
      <c r="BU1" t="s">
        <v>48</v>
      </c>
      <c r="BV1" t="s">
        <v>351</v>
      </c>
    </row>
    <row r="2" spans="1:74">
      <c r="A2" t="s">
        <v>82</v>
      </c>
      <c r="B2" t="s">
        <v>36</v>
      </c>
      <c r="D2" t="s">
        <v>31</v>
      </c>
      <c r="E2" t="s">
        <v>31</v>
      </c>
      <c r="G2" t="s">
        <v>50</v>
      </c>
      <c r="H2">
        <v>1</v>
      </c>
      <c r="M2" t="s">
        <v>26</v>
      </c>
      <c r="N2" t="s">
        <v>27</v>
      </c>
      <c r="O2" t="s">
        <v>28</v>
      </c>
      <c r="Q2" t="s">
        <v>18</v>
      </c>
      <c r="R2" t="s">
        <v>18</v>
      </c>
      <c r="S2" t="s">
        <v>100</v>
      </c>
      <c r="T2" t="s">
        <v>22</v>
      </c>
      <c r="V2" s="81" t="s">
        <v>24</v>
      </c>
      <c r="W2" t="s">
        <v>31</v>
      </c>
      <c r="Y2" t="s">
        <v>24</v>
      </c>
      <c r="AA2" t="s">
        <v>24</v>
      </c>
      <c r="AB2" t="s">
        <v>31</v>
      </c>
      <c r="AE2" s="82" t="s">
        <v>88</v>
      </c>
      <c r="AF2" s="82">
        <v>1</v>
      </c>
      <c r="AL2" t="s">
        <v>228</v>
      </c>
      <c r="AM2" s="128">
        <v>2.8</v>
      </c>
      <c r="AQ2" t="s">
        <v>305</v>
      </c>
      <c r="AR2" t="s">
        <v>26</v>
      </c>
      <c r="AS2" t="s">
        <v>27</v>
      </c>
      <c r="AT2" t="s">
        <v>28</v>
      </c>
      <c r="AU2" t="s">
        <v>327</v>
      </c>
      <c r="AX2" t="s">
        <v>305</v>
      </c>
      <c r="AY2" t="s">
        <v>26</v>
      </c>
      <c r="AZ2" t="s">
        <v>27</v>
      </c>
      <c r="BA2" t="s">
        <v>28</v>
      </c>
      <c r="BD2" t="s">
        <v>305</v>
      </c>
      <c r="BE2" t="s">
        <v>26</v>
      </c>
      <c r="BF2" t="s">
        <v>27</v>
      </c>
      <c r="BG2" t="s">
        <v>28</v>
      </c>
      <c r="BH2" t="s">
        <v>328</v>
      </c>
      <c r="BJ2" t="s">
        <v>332</v>
      </c>
      <c r="BK2" t="s">
        <v>343</v>
      </c>
      <c r="BM2" t="str" cm="1">
        <f t="array" ref="BM2">IFERROR(VLOOKUP(Instructions!$H$12,TableRatingSystem,2,FALSE),BDC)</f>
        <v>BDC</v>
      </c>
      <c r="BP2" t="s">
        <v>347</v>
      </c>
      <c r="BQ2" s="320">
        <f>'Renewable Energy'!$T$38</f>
        <v>0</v>
      </c>
      <c r="BR2" s="320">
        <f>'Renewable Energy'!$T$39</f>
        <v>0</v>
      </c>
      <c r="BS2" s="320">
        <f>'Renewable Energy'!$T$40</f>
        <v>0</v>
      </c>
      <c r="BU2" s="320">
        <f>'Renewable Energy'!$T$42</f>
        <v>0</v>
      </c>
    </row>
    <row r="3" spans="1:74" ht="30">
      <c r="A3" t="s">
        <v>83</v>
      </c>
      <c r="B3" s="76" t="s">
        <v>34</v>
      </c>
      <c r="D3" t="s">
        <v>38</v>
      </c>
      <c r="E3" t="s">
        <v>43</v>
      </c>
      <c r="G3" t="s">
        <v>51</v>
      </c>
      <c r="H3">
        <v>1000</v>
      </c>
      <c r="M3" s="82">
        <v>1</v>
      </c>
      <c r="N3" s="82">
        <v>2</v>
      </c>
      <c r="O3" s="82">
        <v>3</v>
      </c>
      <c r="Q3" t="s">
        <v>19</v>
      </c>
      <c r="R3" t="s">
        <v>19</v>
      </c>
      <c r="S3" t="s">
        <v>20</v>
      </c>
      <c r="T3" t="s">
        <v>99</v>
      </c>
      <c r="V3" s="81" t="s">
        <v>25</v>
      </c>
      <c r="W3" t="s">
        <v>31</v>
      </c>
      <c r="Y3" t="s">
        <v>25</v>
      </c>
      <c r="AA3" t="s">
        <v>25</v>
      </c>
      <c r="AB3" t="s">
        <v>31</v>
      </c>
      <c r="AE3" s="82" t="s">
        <v>89</v>
      </c>
      <c r="AF3" s="82">
        <v>10</v>
      </c>
      <c r="AL3" t="s">
        <v>229</v>
      </c>
      <c r="AM3" s="128">
        <v>1</v>
      </c>
      <c r="AQ3" s="284">
        <v>0</v>
      </c>
      <c r="AR3">
        <v>0</v>
      </c>
      <c r="AS3" s="322">
        <v>0</v>
      </c>
      <c r="AT3" s="322">
        <v>0</v>
      </c>
      <c r="AU3" s="284">
        <f>AQ3</f>
        <v>0</v>
      </c>
      <c r="AV3" s="284"/>
      <c r="AX3" s="284">
        <v>0</v>
      </c>
      <c r="AY3" s="274">
        <v>0</v>
      </c>
      <c r="AZ3" s="274">
        <v>0</v>
      </c>
      <c r="BA3" s="274">
        <v>0</v>
      </c>
      <c r="BB3" s="284">
        <f>AX3</f>
        <v>0</v>
      </c>
      <c r="BD3" s="284">
        <v>0</v>
      </c>
      <c r="BE3">
        <v>0</v>
      </c>
      <c r="BF3" s="322">
        <v>0</v>
      </c>
      <c r="BG3" s="322">
        <v>0</v>
      </c>
      <c r="BH3" s="284">
        <f>BD3</f>
        <v>0</v>
      </c>
      <c r="BJ3" t="s">
        <v>333</v>
      </c>
      <c r="BK3" t="s">
        <v>344</v>
      </c>
      <c r="BP3" t="s">
        <v>305</v>
      </c>
      <c r="BQ3" t="str">
        <f>IF($BM$2="CS",BQ$6,IF($BM$2="IDC",BQ$7,BQ$5))</f>
        <v/>
      </c>
      <c r="BR3" t="str">
        <f t="shared" ref="BR3:BV3" si="0">IF($BM$2="CS",BR$6,IF($BM$2="IDC",BR$7,BR$5))</f>
        <v/>
      </c>
      <c r="BS3" t="str">
        <f>IF($BM$2="CS",BS$6,IF($BM$2="IDC",BS$7,BS$5))</f>
        <v/>
      </c>
      <c r="BU3">
        <f>IFERROR(IF($BM$2="CS",BU$6,IF($BM$2="IDC",BU$7,BU$5)),"")</f>
        <v>0</v>
      </c>
      <c r="BV3" t="str">
        <f>IF($BM$2="CS",BV$6,IF($BM$2="IDC",BV$7,BV$5))</f>
        <v/>
      </c>
    </row>
    <row r="4" spans="1:74">
      <c r="A4" t="s">
        <v>84</v>
      </c>
      <c r="B4" t="s">
        <v>35</v>
      </c>
      <c r="E4" t="s">
        <v>40</v>
      </c>
      <c r="G4" t="s">
        <v>52</v>
      </c>
      <c r="H4">
        <v>0.29308323563892147</v>
      </c>
      <c r="M4" t="s">
        <v>126</v>
      </c>
      <c r="N4" t="s">
        <v>129</v>
      </c>
      <c r="O4" t="s">
        <v>129</v>
      </c>
      <c r="Q4" t="s">
        <v>101</v>
      </c>
      <c r="R4" t="s">
        <v>101</v>
      </c>
      <c r="S4" t="s">
        <v>101</v>
      </c>
      <c r="T4" t="s">
        <v>23</v>
      </c>
      <c r="V4" s="81" t="s">
        <v>32</v>
      </c>
      <c r="W4" t="s">
        <v>38</v>
      </c>
      <c r="Y4" t="s">
        <v>76</v>
      </c>
      <c r="AA4" t="s">
        <v>76</v>
      </c>
      <c r="AB4" t="s">
        <v>31</v>
      </c>
      <c r="AE4" s="82">
        <v>10</v>
      </c>
      <c r="AF4" s="82">
        <v>10</v>
      </c>
      <c r="AL4" t="s">
        <v>42</v>
      </c>
      <c r="AM4" s="128">
        <v>1.05</v>
      </c>
      <c r="AQ4" s="284">
        <v>0.1</v>
      </c>
      <c r="AR4" s="320">
        <v>1.5E-3</v>
      </c>
      <c r="AS4" s="322">
        <f>AQ4/10-0.0005</f>
        <v>9.4999999999999998E-3</v>
      </c>
      <c r="AT4" s="322">
        <f>AU4*AT$13-0.0005</f>
        <v>3.4450000000000001E-2</v>
      </c>
      <c r="AU4" s="284">
        <f>AQ4</f>
        <v>0.1</v>
      </c>
      <c r="AV4" s="284"/>
      <c r="AX4" s="284">
        <f>AX3+0.2</f>
        <v>0.2</v>
      </c>
      <c r="AY4" s="322">
        <v>1.5E-3</v>
      </c>
      <c r="AZ4" s="322">
        <v>5.4999999999999997E-3</v>
      </c>
      <c r="BA4" s="322">
        <v>1.95E-2</v>
      </c>
      <c r="BB4" s="284">
        <f t="shared" ref="BB4:BB28" si="1">AX4</f>
        <v>0.2</v>
      </c>
      <c r="BD4" s="284">
        <v>0.1</v>
      </c>
      <c r="BE4" s="320">
        <v>1.5E-3</v>
      </c>
      <c r="BF4" s="322">
        <f>BD4/10-0.0005</f>
        <v>9.4999999999999998E-3</v>
      </c>
      <c r="BG4" s="322">
        <f>BH4*BG$13-0.0005</f>
        <v>2.445E-2</v>
      </c>
      <c r="BH4" s="284">
        <f t="shared" ref="BH4:BH63" si="2">BD4</f>
        <v>0.1</v>
      </c>
      <c r="BJ4" t="s">
        <v>334</v>
      </c>
      <c r="BK4" t="s">
        <v>343</v>
      </c>
    </row>
    <row r="5" spans="1:74">
      <c r="E5" t="s">
        <v>41</v>
      </c>
      <c r="G5" t="s">
        <v>53</v>
      </c>
      <c r="H5">
        <v>29.308323563892145</v>
      </c>
      <c r="M5" t="s">
        <v>127</v>
      </c>
      <c r="N5" t="s">
        <v>128</v>
      </c>
      <c r="O5" t="s">
        <v>128</v>
      </c>
      <c r="Q5" t="s">
        <v>100</v>
      </c>
      <c r="R5" t="s">
        <v>98</v>
      </c>
      <c r="S5" t="s">
        <v>23</v>
      </c>
      <c r="T5" t="s">
        <v>100</v>
      </c>
      <c r="V5" s="81" t="s">
        <v>67</v>
      </c>
      <c r="W5" t="s">
        <v>38</v>
      </c>
      <c r="Y5" t="s">
        <v>77</v>
      </c>
      <c r="AA5" t="s">
        <v>77</v>
      </c>
      <c r="AB5" t="s">
        <v>31</v>
      </c>
      <c r="AE5" s="82">
        <v>9</v>
      </c>
      <c r="AF5" s="82">
        <v>9</v>
      </c>
      <c r="AP5" s="322"/>
      <c r="AQ5" s="284">
        <f>AQ4+0.1</f>
        <v>0.2</v>
      </c>
      <c r="AR5" s="320">
        <v>3.5000000000000001E-3</v>
      </c>
      <c r="AS5" s="322">
        <f t="shared" ref="AS5:AS53" si="3">AQ5/10-0.0005</f>
        <v>1.95E-2</v>
      </c>
      <c r="AT5" s="322">
        <f>AT4+2.5%</f>
        <v>5.9450000000000003E-2</v>
      </c>
      <c r="AU5" s="284">
        <f t="shared" ref="AU5:AU53" si="4">AQ5</f>
        <v>0.2</v>
      </c>
      <c r="AV5" s="284"/>
      <c r="AX5" s="284">
        <f t="shared" ref="AX5:AX28" si="5">AX4+0.2</f>
        <v>0.4</v>
      </c>
      <c r="AY5" s="322">
        <v>3.5000000000000001E-3</v>
      </c>
      <c r="AZ5" s="322">
        <v>1.15E-2</v>
      </c>
      <c r="BA5" s="322">
        <v>3.95E-2</v>
      </c>
      <c r="BB5" s="284">
        <f t="shared" si="1"/>
        <v>0.4</v>
      </c>
      <c r="BD5" s="284">
        <f>BD4+0.1</f>
        <v>0.2</v>
      </c>
      <c r="BE5" s="320">
        <v>3.5000000000000001E-3</v>
      </c>
      <c r="BF5" s="322">
        <f t="shared" ref="BF5:BF63" si="6">BD5/10-0.0005</f>
        <v>1.95E-2</v>
      </c>
      <c r="BG5" s="322">
        <f>BG4+2.5%</f>
        <v>4.9450000000000001E-2</v>
      </c>
      <c r="BH5" s="284">
        <f t="shared" si="2"/>
        <v>0.2</v>
      </c>
      <c r="BJ5" t="s">
        <v>335</v>
      </c>
      <c r="BK5" t="s">
        <v>343</v>
      </c>
      <c r="BP5" t="s">
        <v>348</v>
      </c>
      <c r="BQ5" t="str">
        <f>IFERROR(IF(BQ$2&gt;0,VLOOKUP(BQ$2,Lookup_Tier1_Points,4),""),"")</f>
        <v/>
      </c>
      <c r="BR5" t="str">
        <f>IFERROR(IF(BR$2&gt;0,VLOOKUP(BR$2,Lookup_Tier2_Points,3),""),"")</f>
        <v/>
      </c>
      <c r="BS5" t="str">
        <f>IFERROR(IF(BS$2&gt;0,VLOOKUP(BS$2,Lookup_Tier3_Points,2),""),"")</f>
        <v/>
      </c>
      <c r="BU5">
        <f>IFERROR(MIN(ROUNDDOWN(SUM(BQ5:BS5),0),5),"")</f>
        <v>0</v>
      </c>
      <c r="BV5" t="str">
        <f>IF(OR($BQ$2&gt;=25%,$BR$2&gt;=60%,SUM(BQ5:BR5)&gt;=6),"EP","")</f>
        <v/>
      </c>
    </row>
    <row r="6" spans="1:74">
      <c r="E6" t="s">
        <v>44</v>
      </c>
      <c r="G6" t="s">
        <v>55</v>
      </c>
      <c r="H6">
        <v>293.08323563892145</v>
      </c>
      <c r="M6" t="s">
        <v>21</v>
      </c>
      <c r="N6" t="s">
        <v>21</v>
      </c>
      <c r="O6" t="s">
        <v>21</v>
      </c>
      <c r="Q6" t="s">
        <v>20</v>
      </c>
      <c r="S6" t="s">
        <v>22</v>
      </c>
      <c r="T6" t="s">
        <v>20</v>
      </c>
      <c r="V6" s="81" t="s">
        <v>68</v>
      </c>
      <c r="W6" t="s">
        <v>38</v>
      </c>
      <c r="Y6" t="s">
        <v>33</v>
      </c>
      <c r="AA6" t="s">
        <v>33</v>
      </c>
      <c r="AB6" t="s">
        <v>31</v>
      </c>
      <c r="AE6" s="82">
        <v>8</v>
      </c>
      <c r="AF6" s="82">
        <v>8</v>
      </c>
      <c r="AQ6" s="284">
        <f t="shared" ref="AQ6:AQ53" si="7">AQ5+0.1</f>
        <v>0.30000000000000004</v>
      </c>
      <c r="AR6" s="320">
        <v>5.5000000000000014E-3</v>
      </c>
      <c r="AS6" s="322">
        <f t="shared" si="3"/>
        <v>2.9500000000000005E-2</v>
      </c>
      <c r="AT6" s="322">
        <f t="shared" ref="AT6:AT12" si="8">AT5+2.5%</f>
        <v>8.4449999999999997E-2</v>
      </c>
      <c r="AU6" s="284">
        <f t="shared" si="4"/>
        <v>0.30000000000000004</v>
      </c>
      <c r="AV6" s="284"/>
      <c r="AX6" s="284">
        <f t="shared" si="5"/>
        <v>0.60000000000000009</v>
      </c>
      <c r="AY6" s="322">
        <v>5.4999999999999997E-3</v>
      </c>
      <c r="AZ6" s="322">
        <v>1.7500000000000002E-2</v>
      </c>
      <c r="BA6" s="322">
        <v>5.9499999999999997E-2</v>
      </c>
      <c r="BB6" s="284">
        <f t="shared" si="1"/>
        <v>0.60000000000000009</v>
      </c>
      <c r="BD6" s="284">
        <f t="shared" ref="BD6:BD62" si="9">BD5+0.1</f>
        <v>0.30000000000000004</v>
      </c>
      <c r="BE6" s="320">
        <v>5.5000000000000014E-3</v>
      </c>
      <c r="BF6" s="322">
        <f t="shared" si="6"/>
        <v>2.9500000000000005E-2</v>
      </c>
      <c r="BG6" s="322">
        <f t="shared" ref="BG6:BG12" si="10">BG5+2.5%</f>
        <v>7.4450000000000002E-2</v>
      </c>
      <c r="BH6" s="284">
        <f t="shared" si="2"/>
        <v>0.30000000000000004</v>
      </c>
      <c r="BJ6" t="s">
        <v>336</v>
      </c>
      <c r="BK6" t="s">
        <v>343</v>
      </c>
      <c r="BP6" t="s">
        <v>350</v>
      </c>
      <c r="BQ6" t="str">
        <f>IFERROR(IF(BQ$2&gt;0,VLOOKUP(BQ$2,$AY$3:$BB$28,4),""),"")</f>
        <v/>
      </c>
      <c r="BR6" t="str">
        <f>IFERROR(IF(BR$2&gt;0,VLOOKUP(BR$2,$AZ$3:$BB$28,3),""),"")</f>
        <v/>
      </c>
      <c r="BS6" t="str">
        <f>IFERROR(IF(BS$2&gt;0,VLOOKUP(BS$2,$BA$3:$BB$18,2),""),"")</f>
        <v/>
      </c>
      <c r="BU6">
        <f>IFERROR(MIN(ROUNDDOWN(SUM(BQ6:BS6),0),5),"")</f>
        <v>0</v>
      </c>
      <c r="BV6" t="str">
        <f>IF(OR($BQ$2&gt;=25%,$BR$2&gt;=60%),"EP","")</f>
        <v/>
      </c>
    </row>
    <row r="7" spans="1:74">
      <c r="G7" t="s">
        <v>56</v>
      </c>
      <c r="H7">
        <v>0.2778429073856975</v>
      </c>
      <c r="Q7" t="s">
        <v>23</v>
      </c>
      <c r="S7" t="s">
        <v>99</v>
      </c>
      <c r="T7" t="s">
        <v>101</v>
      </c>
      <c r="V7" s="81" t="s">
        <v>69</v>
      </c>
      <c r="W7" t="s">
        <v>38</v>
      </c>
      <c r="Y7" t="s">
        <v>30</v>
      </c>
      <c r="AA7" t="s">
        <v>30</v>
      </c>
      <c r="AB7" t="s">
        <v>31</v>
      </c>
      <c r="AE7" s="82">
        <v>7</v>
      </c>
      <c r="AF7" s="82">
        <v>7</v>
      </c>
      <c r="AL7" t="s">
        <v>153</v>
      </c>
      <c r="AM7" t="s">
        <v>230</v>
      </c>
      <c r="AN7" s="129">
        <f>CONVERT(1,"ft","m")^2</f>
        <v>9.2903040000000006E-2</v>
      </c>
      <c r="AQ7" s="284">
        <f t="shared" si="7"/>
        <v>0.4</v>
      </c>
      <c r="AR7" s="320">
        <v>7.4999999999999997E-3</v>
      </c>
      <c r="AS7" s="322">
        <f t="shared" si="3"/>
        <v>3.95E-2</v>
      </c>
      <c r="AT7" s="322">
        <f t="shared" si="8"/>
        <v>0.10944999999999999</v>
      </c>
      <c r="AU7" s="284">
        <f t="shared" si="4"/>
        <v>0.4</v>
      </c>
      <c r="AV7" s="284"/>
      <c r="AX7" s="284">
        <f t="shared" si="5"/>
        <v>0.8</v>
      </c>
      <c r="AY7" s="322">
        <v>7.4999999999999997E-3</v>
      </c>
      <c r="AZ7" s="322">
        <v>2.35E-2</v>
      </c>
      <c r="BA7" s="322">
        <v>7.9500000000000001E-2</v>
      </c>
      <c r="BB7" s="284">
        <f t="shared" si="1"/>
        <v>0.8</v>
      </c>
      <c r="BD7" s="284">
        <f t="shared" si="9"/>
        <v>0.4</v>
      </c>
      <c r="BE7" s="320">
        <v>7.4999999999999997E-3</v>
      </c>
      <c r="BF7" s="322">
        <f t="shared" si="6"/>
        <v>3.95E-2</v>
      </c>
      <c r="BG7" s="322">
        <f t="shared" si="10"/>
        <v>9.9450000000000011E-2</v>
      </c>
      <c r="BH7" s="284">
        <f t="shared" si="2"/>
        <v>0.4</v>
      </c>
      <c r="BJ7" t="s">
        <v>337</v>
      </c>
      <c r="BK7" t="s">
        <v>343</v>
      </c>
      <c r="BP7" t="s">
        <v>349</v>
      </c>
      <c r="BQ7" t="str">
        <f>IFERROR(IF(BQ$2&gt;0,VLOOKUP(BQ$2,BE3:BH63,4),""),"")</f>
        <v/>
      </c>
      <c r="BR7" t="str">
        <f>IFERROR(IF(BR$2&gt;0,VLOOKUP(BR$2,BF3:BH63,3),""),"")</f>
        <v/>
      </c>
      <c r="BS7" t="str">
        <f>IFERROR(IF(BS$2&gt;0,VLOOKUP(BS$2,BG3:BH43,2),""),"")</f>
        <v/>
      </c>
      <c r="BU7">
        <f>IFERROR(MIN(ROUNDDOWN(SUM(BQ7:BS7),0),6),"")</f>
        <v>0</v>
      </c>
      <c r="BV7" t="str">
        <f>IF(OR($BQ$2&gt;=30%,$BR$2&gt;=70%,SUM(BQ7:BR7)&gt;=7),"EP","")</f>
        <v/>
      </c>
    </row>
    <row r="8" spans="1:74">
      <c r="G8" t="s">
        <v>57</v>
      </c>
      <c r="H8">
        <v>3.5169988276670576</v>
      </c>
      <c r="Q8" t="s">
        <v>22</v>
      </c>
      <c r="S8" t="s">
        <v>19</v>
      </c>
      <c r="T8" t="s">
        <v>19</v>
      </c>
      <c r="V8" s="81" t="s">
        <v>70</v>
      </c>
      <c r="W8" t="s">
        <v>38</v>
      </c>
      <c r="Y8" t="s">
        <v>78</v>
      </c>
      <c r="AA8" t="s">
        <v>78</v>
      </c>
      <c r="AB8" t="s">
        <v>31</v>
      </c>
      <c r="AE8" s="82">
        <v>6</v>
      </c>
      <c r="AF8" s="82">
        <v>6</v>
      </c>
      <c r="AM8" t="s">
        <v>231</v>
      </c>
      <c r="AN8" s="130">
        <f>1/3.412</f>
        <v>0.29308323563892147</v>
      </c>
      <c r="AQ8" s="284">
        <f t="shared" si="7"/>
        <v>0.5</v>
      </c>
      <c r="AR8" s="320">
        <v>9.4999999999999998E-3</v>
      </c>
      <c r="AS8" s="322">
        <f t="shared" si="3"/>
        <v>4.9500000000000002E-2</v>
      </c>
      <c r="AT8" s="322">
        <f t="shared" si="8"/>
        <v>0.13444999999999999</v>
      </c>
      <c r="AU8" s="284">
        <f t="shared" si="4"/>
        <v>0.5</v>
      </c>
      <c r="AV8" s="284"/>
      <c r="AX8" s="363">
        <f t="shared" si="5"/>
        <v>1</v>
      </c>
      <c r="AY8" s="364">
        <v>9.4999999999999998E-3</v>
      </c>
      <c r="AZ8" s="364">
        <v>2.9499999999999998E-2</v>
      </c>
      <c r="BA8" s="364">
        <v>9.9500000000000005E-2</v>
      </c>
      <c r="BB8" s="284">
        <f t="shared" si="1"/>
        <v>1</v>
      </c>
      <c r="BD8" s="284">
        <f t="shared" si="9"/>
        <v>0.5</v>
      </c>
      <c r="BE8" s="320">
        <v>9.4999999999999998E-3</v>
      </c>
      <c r="BF8" s="322">
        <f t="shared" si="6"/>
        <v>4.9500000000000002E-2</v>
      </c>
      <c r="BG8" s="322">
        <f t="shared" si="10"/>
        <v>0.12445000000000001</v>
      </c>
      <c r="BH8" s="284">
        <f t="shared" si="2"/>
        <v>0.5</v>
      </c>
      <c r="BJ8" t="s">
        <v>338</v>
      </c>
      <c r="BK8" t="s">
        <v>343</v>
      </c>
    </row>
    <row r="9" spans="1:74">
      <c r="Q9" t="s">
        <v>99</v>
      </c>
      <c r="S9" t="s">
        <v>18</v>
      </c>
      <c r="T9" t="s">
        <v>18</v>
      </c>
      <c r="V9" s="81" t="s">
        <v>64</v>
      </c>
      <c r="W9" t="s">
        <v>38</v>
      </c>
      <c r="Y9" t="s">
        <v>74</v>
      </c>
      <c r="AA9" t="s">
        <v>315</v>
      </c>
      <c r="AB9" t="s">
        <v>31</v>
      </c>
      <c r="AE9" s="82">
        <v>5</v>
      </c>
      <c r="AF9" s="82">
        <v>5</v>
      </c>
      <c r="AQ9" s="284">
        <f t="shared" si="7"/>
        <v>0.6</v>
      </c>
      <c r="AR9" s="320">
        <v>1.15E-2</v>
      </c>
      <c r="AS9" s="322">
        <f t="shared" si="3"/>
        <v>5.9499999999999997E-2</v>
      </c>
      <c r="AT9" s="322">
        <f t="shared" si="8"/>
        <v>0.15944999999999998</v>
      </c>
      <c r="AU9" s="284">
        <f t="shared" si="4"/>
        <v>0.6</v>
      </c>
      <c r="AV9" s="284"/>
      <c r="AX9" s="284">
        <f t="shared" si="5"/>
        <v>1.2</v>
      </c>
      <c r="AY9" s="322">
        <v>1.35E-2</v>
      </c>
      <c r="AZ9" s="322">
        <v>3.5499999999999997E-2</v>
      </c>
      <c r="BA9" s="322">
        <v>0.1195</v>
      </c>
      <c r="BB9" s="284">
        <f t="shared" si="1"/>
        <v>1.2</v>
      </c>
      <c r="BD9" s="284">
        <f t="shared" si="9"/>
        <v>0.6</v>
      </c>
      <c r="BE9" s="320">
        <v>1.15E-2</v>
      </c>
      <c r="BF9" s="322">
        <f t="shared" si="6"/>
        <v>5.9499999999999997E-2</v>
      </c>
      <c r="BG9" s="322">
        <f t="shared" si="10"/>
        <v>0.14945</v>
      </c>
      <c r="BH9" s="284">
        <f t="shared" si="2"/>
        <v>0.6</v>
      </c>
      <c r="BJ9" t="s">
        <v>339</v>
      </c>
      <c r="BK9" t="s">
        <v>343</v>
      </c>
      <c r="BQ9" s="320"/>
      <c r="BR9" s="320"/>
      <c r="BS9" s="320"/>
    </row>
    <row r="10" spans="1:74">
      <c r="G10" t="str">
        <f>IF(IP_SI_Units="IP Units","kWh","kWh")</f>
        <v>kWh</v>
      </c>
      <c r="H10" t="s">
        <v>103</v>
      </c>
      <c r="Q10" t="s">
        <v>21</v>
      </c>
      <c r="S10" t="s">
        <v>21</v>
      </c>
      <c r="T10" t="s">
        <v>21</v>
      </c>
      <c r="V10" s="81" t="s">
        <v>71</v>
      </c>
      <c r="W10" t="s">
        <v>31</v>
      </c>
      <c r="AA10" t="s">
        <v>79</v>
      </c>
      <c r="AB10" t="str">
        <f>E3</f>
        <v>Fossil Fuel</v>
      </c>
      <c r="AE10" s="82">
        <v>4</v>
      </c>
      <c r="AF10" s="82">
        <v>4</v>
      </c>
      <c r="AM10" t="s">
        <v>232</v>
      </c>
      <c r="AN10" s="131">
        <f>AN8/AN7</f>
        <v>3.1547216930567767</v>
      </c>
      <c r="AQ10" s="284">
        <f t="shared" si="7"/>
        <v>0.7</v>
      </c>
      <c r="AR10" s="320">
        <v>1.3499999999999998E-2</v>
      </c>
      <c r="AS10" s="322">
        <f t="shared" si="3"/>
        <v>6.9499999999999992E-2</v>
      </c>
      <c r="AT10" s="322">
        <f t="shared" si="8"/>
        <v>0.18444999999999998</v>
      </c>
      <c r="AU10" s="284">
        <f t="shared" si="4"/>
        <v>0.7</v>
      </c>
      <c r="AV10" s="284"/>
      <c r="AX10" s="284">
        <f t="shared" si="5"/>
        <v>1.4</v>
      </c>
      <c r="AY10" s="322">
        <v>1.7500000000000002E-2</v>
      </c>
      <c r="AZ10" s="322">
        <v>4.1500000000000002E-2</v>
      </c>
      <c r="BA10" s="322">
        <v>0.13950000000000001</v>
      </c>
      <c r="BB10" s="284">
        <f t="shared" si="1"/>
        <v>1.4</v>
      </c>
      <c r="BD10" s="284">
        <f t="shared" si="9"/>
        <v>0.7</v>
      </c>
      <c r="BE10" s="320">
        <v>1.3499999999999998E-2</v>
      </c>
      <c r="BF10" s="322">
        <f t="shared" si="6"/>
        <v>6.9499999999999992E-2</v>
      </c>
      <c r="BG10" s="322">
        <f t="shared" si="10"/>
        <v>0.17444999999999999</v>
      </c>
      <c r="BH10" s="284">
        <f t="shared" si="2"/>
        <v>0.7</v>
      </c>
      <c r="BJ10" t="s">
        <v>341</v>
      </c>
      <c r="BK10" t="s">
        <v>345</v>
      </c>
    </row>
    <row r="11" spans="1:74">
      <c r="G11" t="str">
        <f>IF(IP_SI_Units="IP Units","therm","kWh")</f>
        <v>therm</v>
      </c>
      <c r="H11" t="s">
        <v>104</v>
      </c>
      <c r="V11" s="81" t="s">
        <v>61</v>
      </c>
      <c r="W11" t="s">
        <v>31</v>
      </c>
      <c r="AA11" t="s">
        <v>74</v>
      </c>
      <c r="AE11" s="82">
        <v>3</v>
      </c>
      <c r="AF11" s="82">
        <v>3</v>
      </c>
      <c r="AQ11" s="284">
        <f t="shared" si="7"/>
        <v>0.79999999999999993</v>
      </c>
      <c r="AR11" s="320">
        <v>1.55E-2</v>
      </c>
      <c r="AS11" s="322">
        <f t="shared" si="3"/>
        <v>7.9499999999999987E-2</v>
      </c>
      <c r="AT11" s="322">
        <f t="shared" si="8"/>
        <v>0.20944999999999997</v>
      </c>
      <c r="AU11" s="284">
        <f t="shared" si="4"/>
        <v>0.79999999999999993</v>
      </c>
      <c r="AV11" s="284"/>
      <c r="AX11" s="284">
        <f t="shared" si="5"/>
        <v>1.5999999999999999</v>
      </c>
      <c r="AY11" s="322">
        <v>2.1499999999999998E-2</v>
      </c>
      <c r="AZ11" s="322">
        <v>4.7500000000000001E-2</v>
      </c>
      <c r="BA11" s="322">
        <v>0.1595</v>
      </c>
      <c r="BB11" s="284">
        <f t="shared" si="1"/>
        <v>1.5999999999999999</v>
      </c>
      <c r="BD11" s="284">
        <f t="shared" si="9"/>
        <v>0.79999999999999993</v>
      </c>
      <c r="BE11" s="320">
        <v>1.55E-2</v>
      </c>
      <c r="BF11" s="322">
        <f t="shared" si="6"/>
        <v>7.9499999999999987E-2</v>
      </c>
      <c r="BG11" s="322">
        <f t="shared" si="10"/>
        <v>0.19944999999999999</v>
      </c>
      <c r="BH11" s="284">
        <f t="shared" si="2"/>
        <v>0.79999999999999993</v>
      </c>
      <c r="BJ11" t="s">
        <v>340</v>
      </c>
      <c r="BK11" t="s">
        <v>345</v>
      </c>
    </row>
    <row r="12" spans="1:74">
      <c r="G12" t="str">
        <f>IF(IP_SI_Units="IP Units","Ton Hours","kWh")</f>
        <v>Ton Hours</v>
      </c>
      <c r="H12" t="s">
        <v>106</v>
      </c>
      <c r="V12" s="81" t="s">
        <v>62</v>
      </c>
      <c r="W12" t="s">
        <v>31</v>
      </c>
      <c r="AE12" s="82">
        <v>2</v>
      </c>
      <c r="AF12" s="82">
        <v>2</v>
      </c>
      <c r="AQ12" s="284">
        <f t="shared" si="7"/>
        <v>0.89999999999999991</v>
      </c>
      <c r="AR12" s="320">
        <v>1.7499999999999998E-2</v>
      </c>
      <c r="AS12" s="322">
        <f t="shared" si="3"/>
        <v>8.9499999999999996E-2</v>
      </c>
      <c r="AT12" s="322">
        <f t="shared" si="8"/>
        <v>0.23444999999999996</v>
      </c>
      <c r="AU12" s="284">
        <f t="shared" si="4"/>
        <v>0.89999999999999991</v>
      </c>
      <c r="AV12" s="284"/>
      <c r="AX12" s="284">
        <f t="shared" si="5"/>
        <v>1.7999999999999998</v>
      </c>
      <c r="AY12" s="322">
        <v>2.5499999999999998E-2</v>
      </c>
      <c r="AZ12" s="322">
        <v>5.3499999999999999E-2</v>
      </c>
      <c r="BA12" s="322">
        <v>0.17949999999999999</v>
      </c>
      <c r="BB12" s="284">
        <f t="shared" si="1"/>
        <v>1.7999999999999998</v>
      </c>
      <c r="BD12" s="284">
        <f t="shared" si="9"/>
        <v>0.89999999999999991</v>
      </c>
      <c r="BE12" s="320">
        <v>1.7499999999999998E-2</v>
      </c>
      <c r="BF12" s="322">
        <f t="shared" si="6"/>
        <v>8.9499999999999996E-2</v>
      </c>
      <c r="BG12" s="322">
        <f t="shared" si="10"/>
        <v>0.22444999999999998</v>
      </c>
      <c r="BH12" s="284">
        <f t="shared" si="2"/>
        <v>0.89999999999999991</v>
      </c>
      <c r="BJ12" t="s">
        <v>342</v>
      </c>
      <c r="BK12" t="s">
        <v>345</v>
      </c>
    </row>
    <row r="13" spans="1:74">
      <c r="G13" t="str">
        <f>IF(IP_SI_Units="IP Units","kBtu","kWh")</f>
        <v>kBtu</v>
      </c>
      <c r="H13" t="s">
        <v>105</v>
      </c>
      <c r="V13" s="81" t="s">
        <v>63</v>
      </c>
      <c r="W13" t="s">
        <v>31</v>
      </c>
      <c r="AE13" s="82">
        <v>1</v>
      </c>
      <c r="AF13" s="82">
        <v>1</v>
      </c>
      <c r="AQ13" s="285">
        <f t="shared" si="7"/>
        <v>0.99999999999999989</v>
      </c>
      <c r="AR13" s="321">
        <f>2%-0.0005</f>
        <v>1.95E-2</v>
      </c>
      <c r="AS13" s="321">
        <f t="shared" si="3"/>
        <v>9.9499999999999991E-2</v>
      </c>
      <c r="AT13" s="321">
        <f>35%-0.0005</f>
        <v>0.34949999999999998</v>
      </c>
      <c r="AU13" s="285">
        <f t="shared" si="4"/>
        <v>0.99999999999999989</v>
      </c>
      <c r="AV13" s="284"/>
      <c r="AX13" s="363">
        <f t="shared" si="5"/>
        <v>1.9999999999999998</v>
      </c>
      <c r="AY13" s="364">
        <v>2.9499999999999998E-2</v>
      </c>
      <c r="AZ13" s="364">
        <v>5.9499999999999997E-2</v>
      </c>
      <c r="BA13" s="364">
        <v>0.19950000000000001</v>
      </c>
      <c r="BB13" s="284">
        <f t="shared" si="1"/>
        <v>1.9999999999999998</v>
      </c>
      <c r="BD13" s="285">
        <f t="shared" si="9"/>
        <v>0.99999999999999989</v>
      </c>
      <c r="BE13" s="321">
        <f>2%-0.0005</f>
        <v>1.95E-2</v>
      </c>
      <c r="BF13" s="321">
        <f t="shared" si="6"/>
        <v>9.9499999999999991E-2</v>
      </c>
      <c r="BG13" s="321">
        <f>25%-0.0005</f>
        <v>0.2495</v>
      </c>
      <c r="BH13" s="284">
        <f t="shared" si="2"/>
        <v>0.99999999999999989</v>
      </c>
    </row>
    <row r="14" spans="1:74">
      <c r="V14" s="81" t="s">
        <v>65</v>
      </c>
      <c r="W14" t="s">
        <v>31</v>
      </c>
      <c r="AE14" s="82" t="s">
        <v>90</v>
      </c>
      <c r="AF14" s="82">
        <v>10</v>
      </c>
      <c r="AQ14" s="284">
        <f t="shared" si="7"/>
        <v>1.0999999999999999</v>
      </c>
      <c r="AR14" s="322">
        <v>2.2499999999999999E-2</v>
      </c>
      <c r="AS14" s="322">
        <f t="shared" si="3"/>
        <v>0.10949999999999999</v>
      </c>
      <c r="AT14" s="322">
        <f>AT13+2.5%</f>
        <v>0.3745</v>
      </c>
      <c r="AU14" s="284">
        <f t="shared" si="4"/>
        <v>1.0999999999999999</v>
      </c>
      <c r="AV14" s="284"/>
      <c r="AX14" s="284">
        <f t="shared" si="5"/>
        <v>2.1999999999999997</v>
      </c>
      <c r="AY14" s="322">
        <v>3.3500000000000002E-2</v>
      </c>
      <c r="AZ14" s="322">
        <v>6.5500000000000003E-2</v>
      </c>
      <c r="BA14" s="322">
        <v>0.2195</v>
      </c>
      <c r="BB14" s="284">
        <f t="shared" si="1"/>
        <v>2.1999999999999997</v>
      </c>
      <c r="BD14" s="284">
        <f t="shared" si="9"/>
        <v>1.0999999999999999</v>
      </c>
      <c r="BE14" s="322">
        <v>2.2499999999999999E-2</v>
      </c>
      <c r="BF14" s="322">
        <f t="shared" si="6"/>
        <v>0.10949999999999999</v>
      </c>
      <c r="BG14" s="322">
        <f>BG13+2.5%</f>
        <v>0.27450000000000002</v>
      </c>
      <c r="BH14" s="284">
        <f t="shared" si="2"/>
        <v>1.0999999999999999</v>
      </c>
    </row>
    <row r="15" spans="1:74">
      <c r="G15" t="str">
        <f>IF(IP_SI_Units="IP Units","Btu x 10^6","MWh")</f>
        <v>Btu x 10^6</v>
      </c>
      <c r="H15" t="s">
        <v>107</v>
      </c>
      <c r="V15" s="81" t="s">
        <v>21</v>
      </c>
      <c r="AQ15" s="284">
        <f t="shared" si="7"/>
        <v>1.2</v>
      </c>
      <c r="AR15" s="322">
        <v>2.5499999999999998E-2</v>
      </c>
      <c r="AS15" s="322">
        <f t="shared" si="3"/>
        <v>0.1195</v>
      </c>
      <c r="AT15" s="322">
        <f t="shared" ref="AT15:AT22" si="11">AT14+2.5%</f>
        <v>0.39950000000000002</v>
      </c>
      <c r="AU15" s="284">
        <f t="shared" si="4"/>
        <v>1.2</v>
      </c>
      <c r="AV15" s="284"/>
      <c r="AX15" s="284">
        <f t="shared" si="5"/>
        <v>2.4</v>
      </c>
      <c r="AY15" s="322">
        <v>3.7499999999999999E-2</v>
      </c>
      <c r="AZ15" s="322">
        <v>7.1499999999999994E-2</v>
      </c>
      <c r="BA15" s="322">
        <v>0.23949999999999999</v>
      </c>
      <c r="BB15" s="284">
        <f t="shared" si="1"/>
        <v>2.4</v>
      </c>
      <c r="BD15" s="284">
        <f t="shared" si="9"/>
        <v>1.2</v>
      </c>
      <c r="BE15" s="322">
        <v>2.5499999999999998E-2</v>
      </c>
      <c r="BF15" s="322">
        <f t="shared" si="6"/>
        <v>0.1195</v>
      </c>
      <c r="BG15" s="322">
        <f t="shared" ref="BG15:BG22" si="12">BG14+2.5%</f>
        <v>0.29950000000000004</v>
      </c>
      <c r="BH15" s="284">
        <f t="shared" si="2"/>
        <v>1.2</v>
      </c>
    </row>
    <row r="16" spans="1:74">
      <c r="AQ16" s="284">
        <f t="shared" si="7"/>
        <v>1.3</v>
      </c>
      <c r="AR16" s="322">
        <v>2.8500000000000001E-2</v>
      </c>
      <c r="AS16" s="322">
        <f t="shared" si="3"/>
        <v>0.1295</v>
      </c>
      <c r="AT16" s="322">
        <f t="shared" si="11"/>
        <v>0.42450000000000004</v>
      </c>
      <c r="AU16" s="284">
        <f t="shared" si="4"/>
        <v>1.3</v>
      </c>
      <c r="AV16" s="284"/>
      <c r="AX16" s="284">
        <f t="shared" si="5"/>
        <v>2.6</v>
      </c>
      <c r="AY16" s="322">
        <v>4.1500000000000002E-2</v>
      </c>
      <c r="AZ16" s="322">
        <v>7.7499999999999999E-2</v>
      </c>
      <c r="BA16" s="322">
        <v>0.25950000000000001</v>
      </c>
      <c r="BB16" s="284">
        <f t="shared" si="1"/>
        <v>2.6</v>
      </c>
      <c r="BD16" s="284">
        <f t="shared" si="9"/>
        <v>1.3</v>
      </c>
      <c r="BE16" s="322">
        <v>2.8500000000000001E-2</v>
      </c>
      <c r="BF16" s="322">
        <f t="shared" si="6"/>
        <v>0.1295</v>
      </c>
      <c r="BG16" s="322">
        <f t="shared" si="12"/>
        <v>0.32450000000000007</v>
      </c>
      <c r="BH16" s="284">
        <f t="shared" si="2"/>
        <v>1.3</v>
      </c>
    </row>
    <row r="17" spans="22:60">
      <c r="AQ17" s="284">
        <f t="shared" si="7"/>
        <v>1.4000000000000001</v>
      </c>
      <c r="AR17" s="322">
        <v>3.15E-2</v>
      </c>
      <c r="AS17" s="322">
        <f t="shared" si="3"/>
        <v>0.13950000000000001</v>
      </c>
      <c r="AT17" s="322">
        <f t="shared" si="11"/>
        <v>0.44950000000000007</v>
      </c>
      <c r="AU17" s="284">
        <f t="shared" si="4"/>
        <v>1.4000000000000001</v>
      </c>
      <c r="AV17" s="284"/>
      <c r="AX17" s="284">
        <f t="shared" si="5"/>
        <v>2.8000000000000003</v>
      </c>
      <c r="AY17" s="322">
        <v>4.5499999999999999E-2</v>
      </c>
      <c r="AZ17" s="322">
        <v>8.3500000000000005E-2</v>
      </c>
      <c r="BA17" s="322">
        <v>0.27950000000000003</v>
      </c>
      <c r="BB17" s="284">
        <f t="shared" si="1"/>
        <v>2.8000000000000003</v>
      </c>
      <c r="BD17" s="284">
        <f t="shared" si="9"/>
        <v>1.4000000000000001</v>
      </c>
      <c r="BE17" s="322">
        <v>3.15E-2</v>
      </c>
      <c r="BF17" s="322">
        <f t="shared" si="6"/>
        <v>0.13950000000000001</v>
      </c>
      <c r="BG17" s="322">
        <f t="shared" si="12"/>
        <v>0.34950000000000009</v>
      </c>
      <c r="BH17" s="284">
        <f t="shared" si="2"/>
        <v>1.4000000000000001</v>
      </c>
    </row>
    <row r="18" spans="22:60">
      <c r="AQ18" s="284">
        <f t="shared" si="7"/>
        <v>1.5000000000000002</v>
      </c>
      <c r="AR18" s="322">
        <v>3.4500000000000003E-2</v>
      </c>
      <c r="AS18" s="322">
        <f t="shared" si="3"/>
        <v>0.14950000000000002</v>
      </c>
      <c r="AT18" s="322">
        <f t="shared" si="11"/>
        <v>0.47450000000000009</v>
      </c>
      <c r="AU18" s="284">
        <f t="shared" si="4"/>
        <v>1.5000000000000002</v>
      </c>
      <c r="AV18" s="284"/>
      <c r="AX18" s="363">
        <f t="shared" si="5"/>
        <v>3.0000000000000004</v>
      </c>
      <c r="AY18" s="364">
        <v>4.9500000000000002E-2</v>
      </c>
      <c r="AZ18" s="364">
        <v>8.9499999999999996E-2</v>
      </c>
      <c r="BA18" s="364">
        <v>0.29949999999999999</v>
      </c>
      <c r="BB18" s="284">
        <f t="shared" si="1"/>
        <v>3.0000000000000004</v>
      </c>
      <c r="BD18" s="284">
        <f t="shared" si="9"/>
        <v>1.5000000000000002</v>
      </c>
      <c r="BE18" s="322">
        <v>3.4500000000000003E-2</v>
      </c>
      <c r="BF18" s="322">
        <f t="shared" si="6"/>
        <v>0.14950000000000002</v>
      </c>
      <c r="BG18" s="322">
        <f t="shared" si="12"/>
        <v>0.37450000000000011</v>
      </c>
      <c r="BH18" s="284">
        <f t="shared" si="2"/>
        <v>1.5000000000000002</v>
      </c>
    </row>
    <row r="19" spans="22:60">
      <c r="AM19" s="274">
        <v>0.05</v>
      </c>
      <c r="AN19" s="274">
        <f>AS5+10%</f>
        <v>0.11950000000000001</v>
      </c>
      <c r="AO19" s="274">
        <v>0.7</v>
      </c>
      <c r="AP19">
        <v>2</v>
      </c>
      <c r="AQ19" s="284">
        <f t="shared" si="7"/>
        <v>1.6000000000000003</v>
      </c>
      <c r="AR19" s="322">
        <v>3.7499999999999999E-2</v>
      </c>
      <c r="AS19" s="322">
        <f t="shared" si="3"/>
        <v>0.15950000000000003</v>
      </c>
      <c r="AT19" s="322">
        <f t="shared" si="11"/>
        <v>0.49950000000000011</v>
      </c>
      <c r="AU19" s="284">
        <f t="shared" si="4"/>
        <v>1.6000000000000003</v>
      </c>
      <c r="AV19" s="284"/>
      <c r="AX19" s="284">
        <f t="shared" si="5"/>
        <v>3.2000000000000006</v>
      </c>
      <c r="AY19" s="322">
        <v>5.9499999999999997E-2</v>
      </c>
      <c r="AZ19" s="322">
        <v>9.5500000000000002E-2</v>
      </c>
      <c r="BB19" s="284">
        <f t="shared" si="1"/>
        <v>3.2000000000000006</v>
      </c>
      <c r="BD19" s="284">
        <f t="shared" si="9"/>
        <v>1.6000000000000003</v>
      </c>
      <c r="BE19" s="322">
        <v>3.7499999999999999E-2</v>
      </c>
      <c r="BF19" s="322">
        <f t="shared" si="6"/>
        <v>0.15950000000000003</v>
      </c>
      <c r="BG19" s="322">
        <f t="shared" si="12"/>
        <v>0.39950000000000013</v>
      </c>
      <c r="BH19" s="284">
        <f t="shared" si="2"/>
        <v>1.6000000000000003</v>
      </c>
    </row>
    <row r="20" spans="22:60">
      <c r="V20" s="72" t="s">
        <v>97</v>
      </c>
      <c r="AM20" s="274">
        <v>0.1</v>
      </c>
      <c r="AN20" s="274">
        <f t="shared" ref="AN20:AN23" si="13">AN19+10%</f>
        <v>0.21950000000000003</v>
      </c>
      <c r="AO20" s="274">
        <v>1</v>
      </c>
      <c r="AP20">
        <v>3</v>
      </c>
      <c r="AQ20" s="284">
        <f t="shared" si="7"/>
        <v>1.7000000000000004</v>
      </c>
      <c r="AR20" s="322">
        <v>4.0500000000000001E-2</v>
      </c>
      <c r="AS20" s="322">
        <f t="shared" si="3"/>
        <v>0.16950000000000004</v>
      </c>
      <c r="AT20" s="322">
        <f t="shared" si="11"/>
        <v>0.52450000000000008</v>
      </c>
      <c r="AU20" s="284">
        <f t="shared" si="4"/>
        <v>1.7000000000000004</v>
      </c>
      <c r="AV20" s="284"/>
      <c r="AX20" s="284">
        <f t="shared" si="5"/>
        <v>3.4000000000000008</v>
      </c>
      <c r="AY20" s="322">
        <v>6.9500000000000006E-2</v>
      </c>
      <c r="AZ20" s="322">
        <v>0.10150000000000001</v>
      </c>
      <c r="BB20" s="284">
        <f t="shared" si="1"/>
        <v>3.4000000000000008</v>
      </c>
      <c r="BD20" s="284">
        <f t="shared" si="9"/>
        <v>1.7000000000000004</v>
      </c>
      <c r="BE20" s="322">
        <v>4.0500000000000001E-2</v>
      </c>
      <c r="BF20" s="322">
        <f t="shared" si="6"/>
        <v>0.16950000000000004</v>
      </c>
      <c r="BG20" s="322">
        <f t="shared" si="12"/>
        <v>0.42450000000000015</v>
      </c>
      <c r="BH20" s="284">
        <f t="shared" si="2"/>
        <v>1.7000000000000004</v>
      </c>
    </row>
    <row r="21" spans="22:60">
      <c r="V21" s="81" t="s">
        <v>24</v>
      </c>
      <c r="W21" t="s">
        <v>31</v>
      </c>
      <c r="AM21" s="274">
        <v>0.15</v>
      </c>
      <c r="AN21" s="274">
        <f t="shared" si="13"/>
        <v>0.31950000000000001</v>
      </c>
      <c r="AP21">
        <v>4</v>
      </c>
      <c r="AQ21" s="284">
        <f t="shared" si="7"/>
        <v>1.8000000000000005</v>
      </c>
      <c r="AR21" s="322">
        <v>4.3499999999999997E-2</v>
      </c>
      <c r="AS21" s="322">
        <f t="shared" si="3"/>
        <v>0.17950000000000005</v>
      </c>
      <c r="AT21" s="322">
        <f t="shared" si="11"/>
        <v>0.5495000000000001</v>
      </c>
      <c r="AU21" s="284">
        <f t="shared" si="4"/>
        <v>1.8000000000000005</v>
      </c>
      <c r="AV21" s="284"/>
      <c r="AX21" s="284">
        <f t="shared" si="5"/>
        <v>3.600000000000001</v>
      </c>
      <c r="AY21" s="322">
        <v>7.9500000000000001E-2</v>
      </c>
      <c r="AZ21" s="322">
        <v>0.1075</v>
      </c>
      <c r="BB21" s="284">
        <f t="shared" si="1"/>
        <v>3.600000000000001</v>
      </c>
      <c r="BD21" s="284">
        <f t="shared" si="9"/>
        <v>1.8000000000000005</v>
      </c>
      <c r="BE21" s="322">
        <v>4.3499999999999997E-2</v>
      </c>
      <c r="BF21" s="322">
        <f t="shared" si="6"/>
        <v>0.17950000000000005</v>
      </c>
      <c r="BG21" s="322">
        <f t="shared" si="12"/>
        <v>0.44950000000000018</v>
      </c>
      <c r="BH21" s="284">
        <f t="shared" si="2"/>
        <v>1.8000000000000005</v>
      </c>
    </row>
    <row r="22" spans="22:60">
      <c r="V22" s="81" t="s">
        <v>25</v>
      </c>
      <c r="W22" t="s">
        <v>31</v>
      </c>
      <c r="AM22" s="274">
        <v>0.2</v>
      </c>
      <c r="AN22" s="274">
        <f t="shared" si="13"/>
        <v>0.41949999999999998</v>
      </c>
      <c r="AP22">
        <v>5</v>
      </c>
      <c r="AQ22" s="284">
        <f t="shared" si="7"/>
        <v>1.9000000000000006</v>
      </c>
      <c r="AR22" s="322">
        <v>4.65E-2</v>
      </c>
      <c r="AS22" s="322">
        <f t="shared" si="3"/>
        <v>0.18950000000000006</v>
      </c>
      <c r="AT22" s="322">
        <f t="shared" si="11"/>
        <v>0.57450000000000012</v>
      </c>
      <c r="AU22" s="284">
        <f t="shared" si="4"/>
        <v>1.9000000000000006</v>
      </c>
      <c r="AV22" s="284"/>
      <c r="AX22" s="284">
        <f t="shared" si="5"/>
        <v>3.8000000000000012</v>
      </c>
      <c r="AY22" s="322">
        <v>8.9499999999999996E-2</v>
      </c>
      <c r="AZ22" s="322">
        <v>0.1135</v>
      </c>
      <c r="BB22" s="284">
        <f t="shared" si="1"/>
        <v>3.8000000000000012</v>
      </c>
      <c r="BD22" s="284">
        <f t="shared" si="9"/>
        <v>1.9000000000000006</v>
      </c>
      <c r="BE22" s="322">
        <v>4.65E-2</v>
      </c>
      <c r="BF22" s="322">
        <f t="shared" si="6"/>
        <v>0.18950000000000006</v>
      </c>
      <c r="BG22" s="322">
        <f t="shared" si="12"/>
        <v>0.4745000000000002</v>
      </c>
      <c r="BH22" s="284">
        <f t="shared" si="2"/>
        <v>1.9000000000000006</v>
      </c>
    </row>
    <row r="23" spans="22:60">
      <c r="V23" s="81" t="s">
        <v>32</v>
      </c>
      <c r="W23" t="s">
        <v>38</v>
      </c>
      <c r="AM23" s="274">
        <v>0.25</v>
      </c>
      <c r="AN23" s="274">
        <f t="shared" si="13"/>
        <v>0.51949999999999996</v>
      </c>
      <c r="AP23" t="s">
        <v>306</v>
      </c>
      <c r="AQ23" s="285">
        <f t="shared" si="7"/>
        <v>2.0000000000000004</v>
      </c>
      <c r="AR23" s="321">
        <f>5%-0.0005</f>
        <v>4.9500000000000002E-2</v>
      </c>
      <c r="AS23" s="321">
        <f t="shared" si="3"/>
        <v>0.19950000000000004</v>
      </c>
      <c r="AT23" s="321">
        <f>70%-0.0005</f>
        <v>0.69950000000000001</v>
      </c>
      <c r="AU23" s="285">
        <f t="shared" si="4"/>
        <v>2.0000000000000004</v>
      </c>
      <c r="AV23" s="284"/>
      <c r="AX23" s="363">
        <f t="shared" si="5"/>
        <v>4.0000000000000009</v>
      </c>
      <c r="AY23" s="364">
        <v>9.9500000000000005E-2</v>
      </c>
      <c r="AZ23" s="364">
        <v>0.1195</v>
      </c>
      <c r="BA23" s="365"/>
      <c r="BB23" s="284">
        <f t="shared" si="1"/>
        <v>4.0000000000000009</v>
      </c>
      <c r="BD23" s="285">
        <f t="shared" si="9"/>
        <v>2.0000000000000004</v>
      </c>
      <c r="BE23" s="321">
        <f>5%-0.0005</f>
        <v>4.9500000000000002E-2</v>
      </c>
      <c r="BF23" s="321">
        <f t="shared" si="6"/>
        <v>0.19950000000000004</v>
      </c>
      <c r="BG23" s="321">
        <f>50%-0.0005</f>
        <v>0.4995</v>
      </c>
      <c r="BH23" s="284">
        <f t="shared" si="2"/>
        <v>2.0000000000000004</v>
      </c>
    </row>
    <row r="24" spans="22:60">
      <c r="V24" s="81" t="s">
        <v>67</v>
      </c>
      <c r="W24" t="s">
        <v>38</v>
      </c>
      <c r="AQ24" s="284">
        <f t="shared" si="7"/>
        <v>2.1000000000000005</v>
      </c>
      <c r="AR24" s="322">
        <f>AR23+0.5%</f>
        <v>5.45E-2</v>
      </c>
      <c r="AS24" s="322">
        <f t="shared" si="3"/>
        <v>0.20950000000000005</v>
      </c>
      <c r="AT24" s="320">
        <f>AT23+2.5%</f>
        <v>0.72450000000000003</v>
      </c>
      <c r="AU24" s="284">
        <f t="shared" si="4"/>
        <v>2.1000000000000005</v>
      </c>
      <c r="AV24" s="284"/>
      <c r="AX24" s="284">
        <f t="shared" si="5"/>
        <v>4.2000000000000011</v>
      </c>
      <c r="AY24" s="322">
        <v>0.1095</v>
      </c>
      <c r="AZ24" s="322">
        <v>0.1255</v>
      </c>
      <c r="BB24" s="284">
        <f t="shared" si="1"/>
        <v>4.2000000000000011</v>
      </c>
      <c r="BD24" s="284">
        <f t="shared" si="9"/>
        <v>2.1000000000000005</v>
      </c>
      <c r="BE24" s="322">
        <f>BE23+0.5%</f>
        <v>5.45E-2</v>
      </c>
      <c r="BF24" s="322">
        <f t="shared" si="6"/>
        <v>0.20950000000000005</v>
      </c>
      <c r="BG24" s="320">
        <f>BG23+2.5%</f>
        <v>0.52449999999999997</v>
      </c>
      <c r="BH24" s="284">
        <f t="shared" si="2"/>
        <v>2.1000000000000005</v>
      </c>
    </row>
    <row r="25" spans="22:60">
      <c r="V25" s="81" t="s">
        <v>68</v>
      </c>
      <c r="W25" t="s">
        <v>38</v>
      </c>
      <c r="AQ25" s="284">
        <f t="shared" si="7"/>
        <v>2.2000000000000006</v>
      </c>
      <c r="AR25" s="322">
        <f t="shared" ref="AR25:AR53" si="14">AR24+0.5%</f>
        <v>5.9499999999999997E-2</v>
      </c>
      <c r="AS25" s="322">
        <f t="shared" si="3"/>
        <v>0.21950000000000006</v>
      </c>
      <c r="AT25" s="320">
        <f t="shared" ref="AT25:AT32" si="15">AT24+2.5%</f>
        <v>0.74950000000000006</v>
      </c>
      <c r="AU25" s="284">
        <f t="shared" si="4"/>
        <v>2.2000000000000006</v>
      </c>
      <c r="AV25" s="284"/>
      <c r="AX25" s="284">
        <f t="shared" si="5"/>
        <v>4.4000000000000012</v>
      </c>
      <c r="AY25" s="322">
        <v>0.1195</v>
      </c>
      <c r="AZ25" s="322">
        <v>0.13150000000000001</v>
      </c>
      <c r="BB25" s="284">
        <f t="shared" si="1"/>
        <v>4.4000000000000012</v>
      </c>
      <c r="BD25" s="284">
        <f t="shared" si="9"/>
        <v>2.2000000000000006</v>
      </c>
      <c r="BE25" s="322">
        <f t="shared" ref="BE25:BE63" si="16">BE24+0.5%</f>
        <v>5.9499999999999997E-2</v>
      </c>
      <c r="BF25" s="322">
        <f t="shared" si="6"/>
        <v>0.21950000000000006</v>
      </c>
      <c r="BG25" s="320">
        <f t="shared" ref="BG25:BG32" si="17">BG24+2.5%</f>
        <v>0.54949999999999999</v>
      </c>
      <c r="BH25" s="284">
        <f t="shared" si="2"/>
        <v>2.2000000000000006</v>
      </c>
    </row>
    <row r="26" spans="22:60">
      <c r="V26" s="81" t="s">
        <v>69</v>
      </c>
      <c r="W26" t="s">
        <v>38</v>
      </c>
      <c r="AQ26" s="284">
        <f t="shared" si="7"/>
        <v>2.3000000000000007</v>
      </c>
      <c r="AR26" s="322">
        <f t="shared" si="14"/>
        <v>6.4500000000000002E-2</v>
      </c>
      <c r="AS26" s="322">
        <f t="shared" si="3"/>
        <v>0.22950000000000007</v>
      </c>
      <c r="AT26" s="320">
        <f t="shared" si="15"/>
        <v>0.77450000000000008</v>
      </c>
      <c r="AU26" s="284">
        <f t="shared" si="4"/>
        <v>2.3000000000000007</v>
      </c>
      <c r="AV26" s="284"/>
      <c r="AX26" s="284">
        <f t="shared" si="5"/>
        <v>4.6000000000000014</v>
      </c>
      <c r="AY26" s="322">
        <v>0.1295</v>
      </c>
      <c r="AZ26" s="322">
        <v>0.13750000000000001</v>
      </c>
      <c r="BB26" s="284">
        <f t="shared" si="1"/>
        <v>4.6000000000000014</v>
      </c>
      <c r="BD26" s="284">
        <f t="shared" si="9"/>
        <v>2.3000000000000007</v>
      </c>
      <c r="BE26" s="322">
        <f t="shared" si="16"/>
        <v>6.4500000000000002E-2</v>
      </c>
      <c r="BF26" s="322">
        <f t="shared" si="6"/>
        <v>0.22950000000000007</v>
      </c>
      <c r="BG26" s="320">
        <f t="shared" si="17"/>
        <v>0.57450000000000001</v>
      </c>
      <c r="BH26" s="284">
        <f t="shared" si="2"/>
        <v>2.3000000000000007</v>
      </c>
    </row>
    <row r="27" spans="22:60">
      <c r="V27" s="81" t="s">
        <v>70</v>
      </c>
      <c r="W27" t="s">
        <v>38</v>
      </c>
      <c r="AQ27" s="284">
        <f t="shared" si="7"/>
        <v>2.4000000000000008</v>
      </c>
      <c r="AR27" s="322">
        <f t="shared" si="14"/>
        <v>6.9500000000000006E-2</v>
      </c>
      <c r="AS27" s="322">
        <f t="shared" si="3"/>
        <v>0.23950000000000007</v>
      </c>
      <c r="AT27" s="320">
        <f t="shared" si="15"/>
        <v>0.7995000000000001</v>
      </c>
      <c r="AU27" s="284">
        <f t="shared" si="4"/>
        <v>2.4000000000000008</v>
      </c>
      <c r="AV27" s="284"/>
      <c r="AX27" s="284">
        <f t="shared" si="5"/>
        <v>4.8000000000000016</v>
      </c>
      <c r="AY27" s="322">
        <v>0.13950000000000001</v>
      </c>
      <c r="AZ27" s="322">
        <v>0.14349999999999999</v>
      </c>
      <c r="BB27" s="284">
        <f t="shared" si="1"/>
        <v>4.8000000000000016</v>
      </c>
      <c r="BD27" s="284">
        <f t="shared" si="9"/>
        <v>2.4000000000000008</v>
      </c>
      <c r="BE27" s="322">
        <f t="shared" si="16"/>
        <v>6.9500000000000006E-2</v>
      </c>
      <c r="BF27" s="322">
        <f t="shared" si="6"/>
        <v>0.23950000000000007</v>
      </c>
      <c r="BG27" s="320">
        <f t="shared" si="17"/>
        <v>0.59950000000000003</v>
      </c>
      <c r="BH27" s="284">
        <f t="shared" si="2"/>
        <v>2.4000000000000008</v>
      </c>
    </row>
    <row r="28" spans="22:60">
      <c r="V28" s="81" t="s">
        <v>64</v>
      </c>
      <c r="W28" t="s">
        <v>38</v>
      </c>
      <c r="AQ28" s="284">
        <f t="shared" si="7"/>
        <v>2.5000000000000009</v>
      </c>
      <c r="AR28" s="322">
        <f t="shared" si="14"/>
        <v>7.4500000000000011E-2</v>
      </c>
      <c r="AS28" s="322">
        <f t="shared" si="3"/>
        <v>0.24950000000000011</v>
      </c>
      <c r="AT28" s="320">
        <f t="shared" si="15"/>
        <v>0.82450000000000012</v>
      </c>
      <c r="AU28" s="284">
        <f t="shared" si="4"/>
        <v>2.5000000000000009</v>
      </c>
      <c r="AV28" s="284"/>
      <c r="AX28" s="363">
        <f t="shared" si="5"/>
        <v>5.0000000000000018</v>
      </c>
      <c r="AY28" s="364">
        <v>0.14949999999999999</v>
      </c>
      <c r="AZ28" s="364">
        <v>0.14949999999999999</v>
      </c>
      <c r="BA28" s="365"/>
      <c r="BB28" s="284">
        <f t="shared" si="1"/>
        <v>5.0000000000000018</v>
      </c>
      <c r="BD28" s="284">
        <f t="shared" si="9"/>
        <v>2.5000000000000009</v>
      </c>
      <c r="BE28" s="322">
        <f t="shared" si="16"/>
        <v>7.4500000000000011E-2</v>
      </c>
      <c r="BF28" s="322">
        <f t="shared" si="6"/>
        <v>0.24950000000000011</v>
      </c>
      <c r="BG28" s="320">
        <f t="shared" si="17"/>
        <v>0.62450000000000006</v>
      </c>
      <c r="BH28" s="284">
        <f t="shared" si="2"/>
        <v>2.5000000000000009</v>
      </c>
    </row>
    <row r="29" spans="22:60">
      <c r="V29" s="81" t="s">
        <v>71</v>
      </c>
      <c r="W29" t="s">
        <v>31</v>
      </c>
      <c r="AQ29" s="284">
        <f t="shared" si="7"/>
        <v>2.600000000000001</v>
      </c>
      <c r="AR29" s="322">
        <f t="shared" si="14"/>
        <v>7.9500000000000015E-2</v>
      </c>
      <c r="AS29" s="322">
        <f t="shared" si="3"/>
        <v>0.25950000000000012</v>
      </c>
      <c r="AT29" s="320">
        <f t="shared" si="15"/>
        <v>0.84950000000000014</v>
      </c>
      <c r="AU29" s="284">
        <f t="shared" si="4"/>
        <v>2.600000000000001</v>
      </c>
      <c r="AV29" s="284"/>
      <c r="AX29" s="284"/>
      <c r="BD29" s="284">
        <f t="shared" si="9"/>
        <v>2.600000000000001</v>
      </c>
      <c r="BE29" s="322">
        <f t="shared" si="16"/>
        <v>7.9500000000000015E-2</v>
      </c>
      <c r="BF29" s="322">
        <f t="shared" si="6"/>
        <v>0.25950000000000012</v>
      </c>
      <c r="BG29" s="320">
        <f t="shared" si="17"/>
        <v>0.64950000000000008</v>
      </c>
      <c r="BH29" s="284">
        <f t="shared" si="2"/>
        <v>2.600000000000001</v>
      </c>
    </row>
    <row r="30" spans="22:60">
      <c r="V30" s="81" t="s">
        <v>61</v>
      </c>
      <c r="W30" t="s">
        <v>31</v>
      </c>
      <c r="AQ30" s="284">
        <f t="shared" si="7"/>
        <v>2.7000000000000011</v>
      </c>
      <c r="AR30" s="322">
        <f t="shared" si="14"/>
        <v>8.450000000000002E-2</v>
      </c>
      <c r="AS30" s="322">
        <f t="shared" si="3"/>
        <v>0.26950000000000013</v>
      </c>
      <c r="AT30" s="320">
        <f t="shared" si="15"/>
        <v>0.87450000000000017</v>
      </c>
      <c r="AU30" s="284">
        <f t="shared" si="4"/>
        <v>2.7000000000000011</v>
      </c>
      <c r="AV30" s="284"/>
      <c r="AX30" s="285"/>
      <c r="AY30" s="321"/>
      <c r="AZ30" s="321"/>
      <c r="BD30" s="284">
        <f t="shared" si="9"/>
        <v>2.7000000000000011</v>
      </c>
      <c r="BE30" s="322">
        <f t="shared" si="16"/>
        <v>8.450000000000002E-2</v>
      </c>
      <c r="BF30" s="322">
        <f t="shared" si="6"/>
        <v>0.26950000000000013</v>
      </c>
      <c r="BG30" s="320">
        <f t="shared" si="17"/>
        <v>0.6745000000000001</v>
      </c>
      <c r="BH30" s="284">
        <f t="shared" si="2"/>
        <v>2.7000000000000011</v>
      </c>
    </row>
    <row r="31" spans="22:60">
      <c r="V31" s="81" t="s">
        <v>62</v>
      </c>
      <c r="W31" t="s">
        <v>31</v>
      </c>
      <c r="AQ31" s="284">
        <f t="shared" si="7"/>
        <v>2.8000000000000012</v>
      </c>
      <c r="AR31" s="322">
        <f t="shared" si="14"/>
        <v>8.9500000000000024E-2</v>
      </c>
      <c r="AS31" s="322">
        <f t="shared" si="3"/>
        <v>0.27950000000000014</v>
      </c>
      <c r="AT31" s="320">
        <f t="shared" si="15"/>
        <v>0.89950000000000019</v>
      </c>
      <c r="AU31" s="284">
        <f t="shared" si="4"/>
        <v>2.8000000000000012</v>
      </c>
      <c r="AV31" s="284"/>
      <c r="AX31" s="284"/>
      <c r="BD31" s="284">
        <f t="shared" si="9"/>
        <v>2.8000000000000012</v>
      </c>
      <c r="BE31" s="322">
        <f t="shared" si="16"/>
        <v>8.9500000000000024E-2</v>
      </c>
      <c r="BF31" s="322">
        <f t="shared" si="6"/>
        <v>0.27950000000000014</v>
      </c>
      <c r="BG31" s="320">
        <f t="shared" si="17"/>
        <v>0.69950000000000012</v>
      </c>
      <c r="BH31" s="284">
        <f t="shared" si="2"/>
        <v>2.8000000000000012</v>
      </c>
    </row>
    <row r="32" spans="22:60">
      <c r="V32" s="81" t="s">
        <v>63</v>
      </c>
      <c r="W32" t="s">
        <v>31</v>
      </c>
      <c r="AQ32" s="284">
        <f t="shared" si="7"/>
        <v>2.9000000000000012</v>
      </c>
      <c r="AR32" s="322">
        <f t="shared" si="14"/>
        <v>9.4500000000000028E-2</v>
      </c>
      <c r="AS32" s="322">
        <f t="shared" si="3"/>
        <v>0.28950000000000015</v>
      </c>
      <c r="AT32" s="320">
        <f t="shared" si="15"/>
        <v>0.92450000000000021</v>
      </c>
      <c r="AU32" s="284">
        <f t="shared" si="4"/>
        <v>2.9000000000000012</v>
      </c>
      <c r="AV32" s="284"/>
      <c r="AX32" s="284"/>
      <c r="BD32" s="284">
        <f t="shared" si="9"/>
        <v>2.9000000000000012</v>
      </c>
      <c r="BE32" s="322">
        <f t="shared" si="16"/>
        <v>9.4500000000000028E-2</v>
      </c>
      <c r="BF32" s="322">
        <f t="shared" si="6"/>
        <v>0.28950000000000015</v>
      </c>
      <c r="BG32" s="320">
        <f t="shared" si="17"/>
        <v>0.72450000000000014</v>
      </c>
      <c r="BH32" s="284">
        <f t="shared" si="2"/>
        <v>2.9000000000000012</v>
      </c>
    </row>
    <row r="33" spans="22:60">
      <c r="V33" s="81" t="s">
        <v>65</v>
      </c>
      <c r="W33" t="s">
        <v>31</v>
      </c>
      <c r="AQ33" s="285">
        <f t="shared" si="7"/>
        <v>3.0000000000000013</v>
      </c>
      <c r="AR33" s="321">
        <f t="shared" si="14"/>
        <v>9.9500000000000033E-2</v>
      </c>
      <c r="AS33" s="321">
        <f t="shared" si="3"/>
        <v>0.29950000000000015</v>
      </c>
      <c r="AT33" s="321">
        <f>100%-0.0005</f>
        <v>0.99950000000000006</v>
      </c>
      <c r="AU33" s="285">
        <f t="shared" si="4"/>
        <v>3.0000000000000013</v>
      </c>
      <c r="AV33" s="284"/>
      <c r="AX33" s="284"/>
      <c r="BD33" s="285">
        <f t="shared" si="9"/>
        <v>3.0000000000000013</v>
      </c>
      <c r="BE33" s="321">
        <f t="shared" si="16"/>
        <v>9.9500000000000033E-2</v>
      </c>
      <c r="BF33" s="321">
        <f t="shared" si="6"/>
        <v>0.29950000000000015</v>
      </c>
      <c r="BG33" s="321">
        <f>75%-0.0005</f>
        <v>0.74950000000000006</v>
      </c>
      <c r="BH33" s="284">
        <f t="shared" si="2"/>
        <v>3.0000000000000013</v>
      </c>
    </row>
    <row r="34" spans="22:60">
      <c r="V34" t="s">
        <v>76</v>
      </c>
      <c r="W34" t="s">
        <v>31</v>
      </c>
      <c r="AQ34" s="284">
        <f t="shared" si="7"/>
        <v>3.1000000000000014</v>
      </c>
      <c r="AR34" s="322">
        <f t="shared" si="14"/>
        <v>0.10450000000000004</v>
      </c>
      <c r="AS34" s="322">
        <f t="shared" si="3"/>
        <v>0.30950000000000016</v>
      </c>
      <c r="AT34" s="322"/>
      <c r="AU34" s="284">
        <f t="shared" si="4"/>
        <v>3.1000000000000014</v>
      </c>
      <c r="AV34" s="284"/>
      <c r="AX34" s="284"/>
      <c r="BD34" s="284">
        <f t="shared" si="9"/>
        <v>3.1000000000000014</v>
      </c>
      <c r="BE34" s="322">
        <f t="shared" si="16"/>
        <v>0.10450000000000004</v>
      </c>
      <c r="BF34" s="322">
        <f t="shared" si="6"/>
        <v>0.30950000000000016</v>
      </c>
      <c r="BG34" s="322">
        <f>BG33+2.5%</f>
        <v>0.77450000000000008</v>
      </c>
      <c r="BH34" s="284">
        <f t="shared" si="2"/>
        <v>3.1000000000000014</v>
      </c>
    </row>
    <row r="35" spans="22:60">
      <c r="V35" t="s">
        <v>77</v>
      </c>
      <c r="W35" t="s">
        <v>31</v>
      </c>
      <c r="AQ35" s="284">
        <f t="shared" si="7"/>
        <v>3.2000000000000015</v>
      </c>
      <c r="AR35" s="322">
        <f t="shared" si="14"/>
        <v>0.10950000000000004</v>
      </c>
      <c r="AS35" s="322">
        <f t="shared" si="3"/>
        <v>0.31950000000000017</v>
      </c>
      <c r="AT35" s="322"/>
      <c r="AU35" s="284">
        <f t="shared" si="4"/>
        <v>3.2000000000000015</v>
      </c>
      <c r="AV35" s="284"/>
      <c r="AX35" s="284"/>
      <c r="BD35" s="284">
        <f t="shared" si="9"/>
        <v>3.2000000000000015</v>
      </c>
      <c r="BE35" s="322">
        <f t="shared" si="16"/>
        <v>0.10950000000000004</v>
      </c>
      <c r="BF35" s="322">
        <f t="shared" si="6"/>
        <v>0.31950000000000017</v>
      </c>
      <c r="BG35" s="322">
        <f t="shared" ref="BG35:BG42" si="18">BG34+2.5%</f>
        <v>0.7995000000000001</v>
      </c>
      <c r="BH35" s="284">
        <f t="shared" si="2"/>
        <v>3.2000000000000015</v>
      </c>
    </row>
    <row r="36" spans="22:60">
      <c r="V36" t="s">
        <v>33</v>
      </c>
      <c r="W36" t="s">
        <v>31</v>
      </c>
      <c r="AQ36" s="284">
        <f t="shared" si="7"/>
        <v>3.3000000000000016</v>
      </c>
      <c r="AR36" s="322">
        <f t="shared" si="14"/>
        <v>0.11450000000000005</v>
      </c>
      <c r="AS36" s="322">
        <f t="shared" si="3"/>
        <v>0.32950000000000018</v>
      </c>
      <c r="AT36" s="322"/>
      <c r="AU36" s="284">
        <f t="shared" si="4"/>
        <v>3.3000000000000016</v>
      </c>
      <c r="AV36" s="284"/>
      <c r="AX36" s="284"/>
      <c r="BD36" s="284">
        <f t="shared" si="9"/>
        <v>3.3000000000000016</v>
      </c>
      <c r="BE36" s="322">
        <f t="shared" si="16"/>
        <v>0.11450000000000005</v>
      </c>
      <c r="BF36" s="322">
        <f t="shared" si="6"/>
        <v>0.32950000000000018</v>
      </c>
      <c r="BG36" s="322">
        <f t="shared" si="18"/>
        <v>0.82450000000000012</v>
      </c>
      <c r="BH36" s="284">
        <f t="shared" si="2"/>
        <v>3.3000000000000016</v>
      </c>
    </row>
    <row r="37" spans="22:60">
      <c r="V37" t="s">
        <v>30</v>
      </c>
      <c r="W37" t="s">
        <v>31</v>
      </c>
      <c r="AQ37" s="284">
        <f t="shared" si="7"/>
        <v>3.4000000000000017</v>
      </c>
      <c r="AR37" s="322">
        <f t="shared" si="14"/>
        <v>0.11950000000000005</v>
      </c>
      <c r="AS37" s="322">
        <f t="shared" si="3"/>
        <v>0.33950000000000019</v>
      </c>
      <c r="AT37" s="322"/>
      <c r="AU37" s="284">
        <f t="shared" si="4"/>
        <v>3.4000000000000017</v>
      </c>
      <c r="AV37" s="284"/>
      <c r="AX37" s="284"/>
      <c r="BD37" s="284">
        <f t="shared" si="9"/>
        <v>3.4000000000000017</v>
      </c>
      <c r="BE37" s="322">
        <f t="shared" si="16"/>
        <v>0.11950000000000005</v>
      </c>
      <c r="BF37" s="322">
        <f t="shared" si="6"/>
        <v>0.33950000000000019</v>
      </c>
      <c r="BG37" s="322">
        <f t="shared" si="18"/>
        <v>0.84950000000000014</v>
      </c>
      <c r="BH37" s="284">
        <f t="shared" si="2"/>
        <v>3.4000000000000017</v>
      </c>
    </row>
    <row r="38" spans="22:60">
      <c r="V38" t="s">
        <v>78</v>
      </c>
      <c r="W38" t="s">
        <v>31</v>
      </c>
      <c r="AQ38" s="284">
        <f t="shared" si="7"/>
        <v>3.5000000000000018</v>
      </c>
      <c r="AR38" s="322">
        <f t="shared" si="14"/>
        <v>0.12450000000000006</v>
      </c>
      <c r="AS38" s="322">
        <f t="shared" si="3"/>
        <v>0.3495000000000002</v>
      </c>
      <c r="AT38" s="322"/>
      <c r="AU38" s="284">
        <f t="shared" si="4"/>
        <v>3.5000000000000018</v>
      </c>
      <c r="AV38" s="284"/>
      <c r="AX38" s="284"/>
      <c r="BD38" s="284">
        <f t="shared" si="9"/>
        <v>3.5000000000000018</v>
      </c>
      <c r="BE38" s="322">
        <f t="shared" si="16"/>
        <v>0.12450000000000006</v>
      </c>
      <c r="BF38" s="322">
        <f t="shared" si="6"/>
        <v>0.3495000000000002</v>
      </c>
      <c r="BG38" s="322">
        <f t="shared" si="18"/>
        <v>0.87450000000000017</v>
      </c>
      <c r="BH38" s="284">
        <f t="shared" si="2"/>
        <v>3.5000000000000018</v>
      </c>
    </row>
    <row r="39" spans="22:60">
      <c r="V39" t="s">
        <v>96</v>
      </c>
      <c r="W39" t="s">
        <v>31</v>
      </c>
      <c r="AQ39" s="284">
        <f t="shared" si="7"/>
        <v>3.6000000000000019</v>
      </c>
      <c r="AR39" s="322">
        <f t="shared" si="14"/>
        <v>0.12950000000000006</v>
      </c>
      <c r="AS39" s="322">
        <f t="shared" si="3"/>
        <v>0.35950000000000021</v>
      </c>
      <c r="AT39" s="322"/>
      <c r="AU39" s="284">
        <f t="shared" si="4"/>
        <v>3.6000000000000019</v>
      </c>
      <c r="AV39" s="284"/>
      <c r="AX39" s="284"/>
      <c r="BD39" s="284">
        <f t="shared" si="9"/>
        <v>3.6000000000000019</v>
      </c>
      <c r="BE39" s="322">
        <f t="shared" si="16"/>
        <v>0.12950000000000006</v>
      </c>
      <c r="BF39" s="322">
        <f t="shared" si="6"/>
        <v>0.35950000000000021</v>
      </c>
      <c r="BG39" s="322">
        <f t="shared" si="18"/>
        <v>0.89950000000000019</v>
      </c>
      <c r="BH39" s="284">
        <f t="shared" si="2"/>
        <v>3.6000000000000019</v>
      </c>
    </row>
    <row r="40" spans="22:60">
      <c r="V40" t="s">
        <v>79</v>
      </c>
      <c r="W40" t="str">
        <f>E3</f>
        <v>Fossil Fuel</v>
      </c>
      <c r="AQ40" s="284">
        <f t="shared" si="7"/>
        <v>3.700000000000002</v>
      </c>
      <c r="AR40" s="322">
        <f t="shared" si="14"/>
        <v>0.13450000000000006</v>
      </c>
      <c r="AS40" s="322">
        <f t="shared" si="3"/>
        <v>0.36950000000000022</v>
      </c>
      <c r="AT40" s="322"/>
      <c r="AU40" s="284">
        <f t="shared" si="4"/>
        <v>3.700000000000002</v>
      </c>
      <c r="AV40" s="284"/>
      <c r="AX40" s="284"/>
      <c r="BD40" s="284">
        <f t="shared" si="9"/>
        <v>3.700000000000002</v>
      </c>
      <c r="BE40" s="322">
        <f t="shared" si="16"/>
        <v>0.13450000000000006</v>
      </c>
      <c r="BF40" s="322">
        <f t="shared" si="6"/>
        <v>0.36950000000000022</v>
      </c>
      <c r="BG40" s="322">
        <f t="shared" si="18"/>
        <v>0.92450000000000021</v>
      </c>
      <c r="BH40" s="284">
        <f t="shared" si="2"/>
        <v>3.700000000000002</v>
      </c>
    </row>
    <row r="41" spans="22:60">
      <c r="V41" s="81" t="s">
        <v>21</v>
      </c>
      <c r="AQ41" s="284">
        <f t="shared" si="7"/>
        <v>3.800000000000002</v>
      </c>
      <c r="AR41" s="322">
        <f t="shared" si="14"/>
        <v>0.13950000000000007</v>
      </c>
      <c r="AS41" s="322">
        <f t="shared" si="3"/>
        <v>0.37950000000000023</v>
      </c>
      <c r="AT41" s="322"/>
      <c r="AU41" s="284">
        <f t="shared" si="4"/>
        <v>3.800000000000002</v>
      </c>
      <c r="AV41" s="284"/>
      <c r="AX41" s="284"/>
      <c r="BD41" s="284">
        <f t="shared" si="9"/>
        <v>3.800000000000002</v>
      </c>
      <c r="BE41" s="322">
        <f t="shared" si="16"/>
        <v>0.13950000000000007</v>
      </c>
      <c r="BF41" s="322">
        <f t="shared" si="6"/>
        <v>0.37950000000000023</v>
      </c>
      <c r="BG41" s="322">
        <f t="shared" si="18"/>
        <v>0.94950000000000023</v>
      </c>
      <c r="BH41" s="284">
        <f t="shared" si="2"/>
        <v>3.800000000000002</v>
      </c>
    </row>
    <row r="42" spans="22:60">
      <c r="AQ42" s="284">
        <f t="shared" si="7"/>
        <v>3.9000000000000021</v>
      </c>
      <c r="AR42" s="322">
        <f t="shared" si="14"/>
        <v>0.14450000000000007</v>
      </c>
      <c r="AS42" s="322">
        <f t="shared" si="3"/>
        <v>0.38950000000000023</v>
      </c>
      <c r="AT42" s="322"/>
      <c r="AU42" s="284">
        <f t="shared" si="4"/>
        <v>3.9000000000000021</v>
      </c>
      <c r="AV42" s="284"/>
      <c r="AX42" s="284"/>
      <c r="BD42" s="284">
        <f t="shared" si="9"/>
        <v>3.9000000000000021</v>
      </c>
      <c r="BE42" s="322">
        <f t="shared" si="16"/>
        <v>0.14450000000000007</v>
      </c>
      <c r="BF42" s="322">
        <f t="shared" si="6"/>
        <v>0.38950000000000023</v>
      </c>
      <c r="BG42" s="322">
        <f t="shared" si="18"/>
        <v>0.97450000000000025</v>
      </c>
      <c r="BH42" s="284">
        <f t="shared" si="2"/>
        <v>3.9000000000000021</v>
      </c>
    </row>
    <row r="43" spans="22:60">
      <c r="AQ43" s="285">
        <f t="shared" si="7"/>
        <v>4.0000000000000018</v>
      </c>
      <c r="AR43" s="321">
        <f t="shared" si="14"/>
        <v>0.14950000000000008</v>
      </c>
      <c r="AS43" s="321">
        <f t="shared" si="3"/>
        <v>0.39950000000000019</v>
      </c>
      <c r="AT43" s="321"/>
      <c r="AU43" s="285">
        <f t="shared" si="4"/>
        <v>4.0000000000000018</v>
      </c>
      <c r="AV43" s="284"/>
      <c r="AX43" s="284"/>
      <c r="BD43" s="285">
        <f t="shared" si="9"/>
        <v>4.0000000000000018</v>
      </c>
      <c r="BE43" s="321">
        <f t="shared" si="16"/>
        <v>0.14950000000000008</v>
      </c>
      <c r="BF43" s="321">
        <f t="shared" si="6"/>
        <v>0.39950000000000019</v>
      </c>
      <c r="BG43" s="321">
        <f>100%-0.0005</f>
        <v>0.99950000000000006</v>
      </c>
      <c r="BH43" s="284">
        <f t="shared" si="2"/>
        <v>4.0000000000000018</v>
      </c>
    </row>
    <row r="44" spans="22:60">
      <c r="AQ44" s="284">
        <f t="shared" si="7"/>
        <v>4.1000000000000014</v>
      </c>
      <c r="AR44" s="322">
        <f t="shared" si="14"/>
        <v>0.15450000000000008</v>
      </c>
      <c r="AS44" s="322">
        <f t="shared" si="3"/>
        <v>0.40950000000000014</v>
      </c>
      <c r="AU44" s="284">
        <f t="shared" si="4"/>
        <v>4.1000000000000014</v>
      </c>
      <c r="AV44" s="284"/>
      <c r="AX44" s="284"/>
      <c r="BD44" s="284">
        <f t="shared" si="9"/>
        <v>4.1000000000000014</v>
      </c>
      <c r="BE44" s="322">
        <f t="shared" si="16"/>
        <v>0.15450000000000008</v>
      </c>
      <c r="BF44" s="322">
        <f t="shared" si="6"/>
        <v>0.40950000000000014</v>
      </c>
      <c r="BH44" s="284">
        <f t="shared" si="2"/>
        <v>4.1000000000000014</v>
      </c>
    </row>
    <row r="45" spans="22:60">
      <c r="AQ45" s="284">
        <f t="shared" si="7"/>
        <v>4.2000000000000011</v>
      </c>
      <c r="AR45" s="322">
        <f t="shared" si="14"/>
        <v>0.15950000000000009</v>
      </c>
      <c r="AS45" s="322">
        <f t="shared" si="3"/>
        <v>0.4195000000000001</v>
      </c>
      <c r="AU45" s="284">
        <f t="shared" si="4"/>
        <v>4.2000000000000011</v>
      </c>
      <c r="AV45" s="284"/>
      <c r="AX45" s="284"/>
      <c r="BD45" s="284">
        <f t="shared" si="9"/>
        <v>4.2000000000000011</v>
      </c>
      <c r="BE45" s="322">
        <f t="shared" si="16"/>
        <v>0.15950000000000009</v>
      </c>
      <c r="BF45" s="322">
        <f t="shared" si="6"/>
        <v>0.4195000000000001</v>
      </c>
      <c r="BH45" s="284">
        <f t="shared" si="2"/>
        <v>4.2000000000000011</v>
      </c>
    </row>
    <row r="46" spans="22:60">
      <c r="AQ46" s="284">
        <f t="shared" si="7"/>
        <v>4.3000000000000007</v>
      </c>
      <c r="AR46" s="322">
        <f t="shared" si="14"/>
        <v>0.16450000000000009</v>
      </c>
      <c r="AS46" s="322">
        <f t="shared" si="3"/>
        <v>0.42950000000000005</v>
      </c>
      <c r="AU46" s="284">
        <f t="shared" si="4"/>
        <v>4.3000000000000007</v>
      </c>
      <c r="AV46" s="284"/>
      <c r="AX46" s="284"/>
      <c r="BD46" s="284">
        <f t="shared" si="9"/>
        <v>4.3000000000000007</v>
      </c>
      <c r="BE46" s="322">
        <f t="shared" si="16"/>
        <v>0.16450000000000009</v>
      </c>
      <c r="BF46" s="322">
        <f t="shared" si="6"/>
        <v>0.42950000000000005</v>
      </c>
      <c r="BH46" s="284">
        <f t="shared" si="2"/>
        <v>4.3000000000000007</v>
      </c>
    </row>
    <row r="47" spans="22:60">
      <c r="AQ47" s="284">
        <f t="shared" si="7"/>
        <v>4.4000000000000004</v>
      </c>
      <c r="AR47" s="322">
        <f t="shared" si="14"/>
        <v>0.1695000000000001</v>
      </c>
      <c r="AS47" s="322">
        <f t="shared" si="3"/>
        <v>0.43950000000000006</v>
      </c>
      <c r="AU47" s="284">
        <f t="shared" si="4"/>
        <v>4.4000000000000004</v>
      </c>
      <c r="AV47" s="284"/>
      <c r="AX47" s="284"/>
      <c r="BD47" s="284">
        <f t="shared" si="9"/>
        <v>4.4000000000000004</v>
      </c>
      <c r="BE47" s="322">
        <f t="shared" si="16"/>
        <v>0.1695000000000001</v>
      </c>
      <c r="BF47" s="322">
        <f t="shared" si="6"/>
        <v>0.43950000000000006</v>
      </c>
      <c r="BH47" s="284">
        <f t="shared" si="2"/>
        <v>4.4000000000000004</v>
      </c>
    </row>
    <row r="48" spans="22:60">
      <c r="AQ48" s="284">
        <f t="shared" si="7"/>
        <v>4.5</v>
      </c>
      <c r="AR48" s="322">
        <f t="shared" si="14"/>
        <v>0.1745000000000001</v>
      </c>
      <c r="AS48" s="322">
        <f t="shared" si="3"/>
        <v>0.44950000000000001</v>
      </c>
      <c r="AU48" s="284">
        <f t="shared" si="4"/>
        <v>4.5</v>
      </c>
      <c r="AV48" s="284"/>
      <c r="AX48" s="284"/>
      <c r="BD48" s="284">
        <f t="shared" si="9"/>
        <v>4.5</v>
      </c>
      <c r="BE48" s="322">
        <f t="shared" si="16"/>
        <v>0.1745000000000001</v>
      </c>
      <c r="BF48" s="322">
        <f t="shared" si="6"/>
        <v>0.44950000000000001</v>
      </c>
      <c r="BH48" s="284">
        <f t="shared" si="2"/>
        <v>4.5</v>
      </c>
    </row>
    <row r="49" spans="43:60">
      <c r="AQ49" s="284">
        <f t="shared" si="7"/>
        <v>4.5999999999999996</v>
      </c>
      <c r="AR49" s="322">
        <f t="shared" si="14"/>
        <v>0.1795000000000001</v>
      </c>
      <c r="AS49" s="322">
        <f t="shared" si="3"/>
        <v>0.45949999999999996</v>
      </c>
      <c r="AU49" s="284">
        <f t="shared" si="4"/>
        <v>4.5999999999999996</v>
      </c>
      <c r="AV49" s="284"/>
      <c r="AX49" s="284"/>
      <c r="BD49" s="284">
        <f t="shared" si="9"/>
        <v>4.5999999999999996</v>
      </c>
      <c r="BE49" s="322">
        <f t="shared" si="16"/>
        <v>0.1795000000000001</v>
      </c>
      <c r="BF49" s="322">
        <f t="shared" si="6"/>
        <v>0.45949999999999996</v>
      </c>
      <c r="BH49" s="284">
        <f t="shared" si="2"/>
        <v>4.5999999999999996</v>
      </c>
    </row>
    <row r="50" spans="43:60">
      <c r="AQ50" s="284">
        <f t="shared" si="7"/>
        <v>4.6999999999999993</v>
      </c>
      <c r="AR50" s="322">
        <f t="shared" si="14"/>
        <v>0.18450000000000011</v>
      </c>
      <c r="AS50" s="322">
        <f t="shared" si="3"/>
        <v>0.46949999999999992</v>
      </c>
      <c r="AU50" s="284">
        <f t="shared" si="4"/>
        <v>4.6999999999999993</v>
      </c>
      <c r="AV50" s="284"/>
      <c r="AX50" s="284"/>
      <c r="BD50" s="284">
        <f t="shared" si="9"/>
        <v>4.6999999999999993</v>
      </c>
      <c r="BE50" s="322">
        <f t="shared" si="16"/>
        <v>0.18450000000000011</v>
      </c>
      <c r="BF50" s="322">
        <f t="shared" si="6"/>
        <v>0.46949999999999992</v>
      </c>
      <c r="BH50" s="284">
        <f t="shared" si="2"/>
        <v>4.6999999999999993</v>
      </c>
    </row>
    <row r="51" spans="43:60">
      <c r="AQ51" s="284">
        <f t="shared" si="7"/>
        <v>4.7999999999999989</v>
      </c>
      <c r="AR51" s="322">
        <f t="shared" si="14"/>
        <v>0.18950000000000011</v>
      </c>
      <c r="AS51" s="322">
        <f t="shared" si="3"/>
        <v>0.47949999999999987</v>
      </c>
      <c r="AU51" s="284">
        <f t="shared" si="4"/>
        <v>4.7999999999999989</v>
      </c>
      <c r="AV51" s="284"/>
      <c r="AX51" s="284"/>
      <c r="BD51" s="284">
        <f t="shared" si="9"/>
        <v>4.7999999999999989</v>
      </c>
      <c r="BE51" s="322">
        <f t="shared" si="16"/>
        <v>0.18950000000000011</v>
      </c>
      <c r="BF51" s="322">
        <f t="shared" si="6"/>
        <v>0.47949999999999987</v>
      </c>
      <c r="BH51" s="284">
        <f t="shared" si="2"/>
        <v>4.7999999999999989</v>
      </c>
    </row>
    <row r="52" spans="43:60">
      <c r="AQ52" s="284">
        <f t="shared" si="7"/>
        <v>4.8999999999999986</v>
      </c>
      <c r="AR52" s="322">
        <f t="shared" si="14"/>
        <v>0.19450000000000012</v>
      </c>
      <c r="AS52" s="322">
        <f t="shared" si="3"/>
        <v>0.48949999999999988</v>
      </c>
      <c r="AU52" s="284">
        <f t="shared" si="4"/>
        <v>4.8999999999999986</v>
      </c>
      <c r="AV52" s="284"/>
      <c r="AX52" s="284"/>
      <c r="BD52" s="284">
        <f t="shared" si="9"/>
        <v>4.8999999999999986</v>
      </c>
      <c r="BE52" s="322">
        <f t="shared" si="16"/>
        <v>0.19450000000000012</v>
      </c>
      <c r="BF52" s="322">
        <f t="shared" si="6"/>
        <v>0.48949999999999988</v>
      </c>
      <c r="BH52" s="284">
        <f t="shared" si="2"/>
        <v>4.8999999999999986</v>
      </c>
    </row>
    <row r="53" spans="43:60">
      <c r="AQ53" s="285">
        <f t="shared" si="7"/>
        <v>4.9999999999999982</v>
      </c>
      <c r="AR53" s="321">
        <f t="shared" si="14"/>
        <v>0.19950000000000012</v>
      </c>
      <c r="AS53" s="321">
        <f t="shared" si="3"/>
        <v>0.49949999999999983</v>
      </c>
      <c r="AT53" s="286"/>
      <c r="AU53" s="285">
        <f t="shared" si="4"/>
        <v>4.9999999999999982</v>
      </c>
      <c r="AV53" s="284"/>
      <c r="AX53" s="284"/>
      <c r="BD53" s="285">
        <f t="shared" si="9"/>
        <v>4.9999999999999982</v>
      </c>
      <c r="BE53" s="321">
        <f t="shared" si="16"/>
        <v>0.19950000000000012</v>
      </c>
      <c r="BF53" s="321">
        <f t="shared" si="6"/>
        <v>0.49949999999999983</v>
      </c>
      <c r="BG53" s="286"/>
      <c r="BH53" s="284">
        <f t="shared" si="2"/>
        <v>4.9999999999999982</v>
      </c>
    </row>
    <row r="54" spans="43:60">
      <c r="AQ54" s="284"/>
      <c r="AR54" s="360"/>
      <c r="AS54" s="322"/>
      <c r="AV54" s="284"/>
      <c r="BD54" s="284">
        <f t="shared" si="9"/>
        <v>5.0999999999999979</v>
      </c>
      <c r="BE54" s="360">
        <f t="shared" si="16"/>
        <v>0.20450000000000013</v>
      </c>
      <c r="BF54" s="322">
        <f t="shared" si="6"/>
        <v>0.50949999999999984</v>
      </c>
      <c r="BH54" s="284">
        <f t="shared" si="2"/>
        <v>5.0999999999999979</v>
      </c>
    </row>
    <row r="55" spans="43:60">
      <c r="AQ55" s="284"/>
      <c r="AR55" s="360"/>
      <c r="AS55" s="322"/>
      <c r="AV55" s="284"/>
      <c r="BD55" s="284">
        <f t="shared" si="9"/>
        <v>5.1999999999999975</v>
      </c>
      <c r="BE55" s="360">
        <f t="shared" si="16"/>
        <v>0.20950000000000013</v>
      </c>
      <c r="BF55" s="322">
        <f t="shared" si="6"/>
        <v>0.51949999999999985</v>
      </c>
      <c r="BH55" s="284">
        <f t="shared" si="2"/>
        <v>5.1999999999999975</v>
      </c>
    </row>
    <row r="56" spans="43:60">
      <c r="AQ56" s="284"/>
      <c r="AR56" s="360"/>
      <c r="AS56" s="322"/>
      <c r="AV56" s="284"/>
      <c r="BD56" s="284">
        <f t="shared" si="9"/>
        <v>5.2999999999999972</v>
      </c>
      <c r="BE56" s="360">
        <f t="shared" si="16"/>
        <v>0.21450000000000014</v>
      </c>
      <c r="BF56" s="322">
        <f t="shared" si="6"/>
        <v>0.52949999999999975</v>
      </c>
      <c r="BH56" s="284">
        <f t="shared" si="2"/>
        <v>5.2999999999999972</v>
      </c>
    </row>
    <row r="57" spans="43:60">
      <c r="AQ57" s="284"/>
      <c r="AR57" s="360"/>
      <c r="AS57" s="322"/>
      <c r="AV57" s="284"/>
      <c r="BD57" s="284">
        <f t="shared" si="9"/>
        <v>5.3999999999999968</v>
      </c>
      <c r="BE57" s="360">
        <f t="shared" si="16"/>
        <v>0.21950000000000014</v>
      </c>
      <c r="BF57" s="322">
        <f t="shared" si="6"/>
        <v>0.53949999999999976</v>
      </c>
      <c r="BH57" s="284">
        <f t="shared" si="2"/>
        <v>5.3999999999999968</v>
      </c>
    </row>
    <row r="58" spans="43:60">
      <c r="AQ58" s="284"/>
      <c r="AR58" s="360"/>
      <c r="AS58" s="322"/>
      <c r="AV58" s="284"/>
      <c r="BD58" s="284">
        <f t="shared" si="9"/>
        <v>5.4999999999999964</v>
      </c>
      <c r="BE58" s="360">
        <f t="shared" si="16"/>
        <v>0.22450000000000014</v>
      </c>
      <c r="BF58" s="322">
        <f t="shared" si="6"/>
        <v>0.54949999999999966</v>
      </c>
      <c r="BH58" s="284">
        <f t="shared" si="2"/>
        <v>5.4999999999999964</v>
      </c>
    </row>
    <row r="59" spans="43:60">
      <c r="AQ59" s="284"/>
      <c r="AR59" s="360"/>
      <c r="AS59" s="322"/>
      <c r="AV59" s="284"/>
      <c r="BD59" s="284">
        <f t="shared" si="9"/>
        <v>5.5999999999999961</v>
      </c>
      <c r="BE59" s="360">
        <f t="shared" si="16"/>
        <v>0.22950000000000015</v>
      </c>
      <c r="BF59" s="322">
        <f t="shared" si="6"/>
        <v>0.55949999999999966</v>
      </c>
      <c r="BH59" s="284">
        <f t="shared" si="2"/>
        <v>5.5999999999999961</v>
      </c>
    </row>
    <row r="60" spans="43:60">
      <c r="AQ60" s="284"/>
      <c r="AR60" s="360"/>
      <c r="AS60" s="322"/>
      <c r="AV60" s="284"/>
      <c r="BD60" s="284">
        <f t="shared" si="9"/>
        <v>5.6999999999999957</v>
      </c>
      <c r="BE60" s="360">
        <f t="shared" si="16"/>
        <v>0.23450000000000015</v>
      </c>
      <c r="BF60" s="322">
        <f t="shared" si="6"/>
        <v>0.56949999999999967</v>
      </c>
      <c r="BH60" s="284">
        <f t="shared" si="2"/>
        <v>5.6999999999999957</v>
      </c>
    </row>
    <row r="61" spans="43:60">
      <c r="AQ61" s="284"/>
      <c r="AR61" s="360"/>
      <c r="AS61" s="322"/>
      <c r="AV61" s="284"/>
      <c r="BD61" s="284">
        <f t="shared" si="9"/>
        <v>5.7999999999999954</v>
      </c>
      <c r="BE61" s="360">
        <f t="shared" si="16"/>
        <v>0.23950000000000016</v>
      </c>
      <c r="BF61" s="322">
        <f t="shared" si="6"/>
        <v>0.57949999999999957</v>
      </c>
      <c r="BH61" s="284">
        <f t="shared" si="2"/>
        <v>5.7999999999999954</v>
      </c>
    </row>
    <row r="62" spans="43:60">
      <c r="AQ62" s="284"/>
      <c r="AR62" s="360"/>
      <c r="AS62" s="322"/>
      <c r="AV62" s="284"/>
      <c r="BD62" s="284">
        <f t="shared" si="9"/>
        <v>5.899999999999995</v>
      </c>
      <c r="BE62" s="360">
        <f t="shared" si="16"/>
        <v>0.24450000000000016</v>
      </c>
      <c r="BF62" s="322">
        <f t="shared" si="6"/>
        <v>0.58949999999999958</v>
      </c>
      <c r="BH62" s="284">
        <f t="shared" si="2"/>
        <v>5.899999999999995</v>
      </c>
    </row>
    <row r="63" spans="43:60">
      <c r="AR63" s="360"/>
      <c r="AS63" s="322"/>
      <c r="AV63" s="284"/>
      <c r="BD63">
        <v>6</v>
      </c>
      <c r="BE63" s="360">
        <f t="shared" si="16"/>
        <v>0.24950000000000017</v>
      </c>
      <c r="BF63" s="322">
        <f t="shared" si="6"/>
        <v>0.59950000000000003</v>
      </c>
      <c r="BH63" s="284">
        <f t="shared" si="2"/>
        <v>6</v>
      </c>
    </row>
    <row r="65" spans="43:59">
      <c r="AQ65" s="285"/>
      <c r="AR65" s="321"/>
      <c r="AS65" s="321"/>
      <c r="AT65" s="361"/>
      <c r="AU65" s="362"/>
      <c r="BD65" s="285"/>
      <c r="BE65" s="321"/>
      <c r="BF65" s="321"/>
      <c r="BG65" s="361"/>
    </row>
    <row r="66" spans="43:59">
      <c r="AQ66" s="75"/>
      <c r="BD66" s="75"/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2955FC2011C74DAFB5091C8C65621E" ma:contentTypeVersion="4" ma:contentTypeDescription="Create a new document." ma:contentTypeScope="" ma:versionID="7f6c97fb7a06df505478e92e7517e0ea">
  <xsd:schema xmlns:xsd="http://www.w3.org/2001/XMLSchema" xmlns:xs="http://www.w3.org/2001/XMLSchema" xmlns:p="http://schemas.microsoft.com/office/2006/metadata/properties" xmlns:ns2="b2121210-611a-4d8e-8628-fc3c79066193" targetNamespace="http://schemas.microsoft.com/office/2006/metadata/properties" ma:root="true" ma:fieldsID="dbd8b422d9bdc10affd90fcbe9bba002" ns2:_="">
    <xsd:import namespace="b2121210-611a-4d8e-8628-fc3c790661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121210-611a-4d8e-8628-fc3c790661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885FA0-4BC9-4EB3-A0EE-3B952E3FFE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121210-611a-4d8e-8628-fc3c790661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357C5C-3892-4489-85ED-A5403A276EA9}">
  <ds:schemaRefs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dcmitype/"/>
    <ds:schemaRef ds:uri="b2121210-611a-4d8e-8628-fc3c79066193"/>
    <ds:schemaRef ds:uri="http://purl.org/dc/elements/1.1/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C726812C-D74A-44DB-A2EF-C806293193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29</vt:i4>
      </vt:variant>
    </vt:vector>
  </HeadingPairs>
  <TitlesOfParts>
    <vt:vector size="34" baseType="lpstr">
      <vt:lpstr>Instructions</vt:lpstr>
      <vt:lpstr>Renewable Energy</vt:lpstr>
      <vt:lpstr>Site_Energy_No_Model</vt:lpstr>
      <vt:lpstr>Summary</vt:lpstr>
      <vt:lpstr>LookupData</vt:lpstr>
      <vt:lpstr>Building_Type_List</vt:lpstr>
      <vt:lpstr>Building_Type_Table</vt:lpstr>
      <vt:lpstr>Contract_Date_List</vt:lpstr>
      <vt:lpstr>Default_Electricity_No_Model</vt:lpstr>
      <vt:lpstr>Default_Fuel_No_Model</vt:lpstr>
      <vt:lpstr>Energy_Units_List</vt:lpstr>
      <vt:lpstr>Energy_Units_Table</vt:lpstr>
      <vt:lpstr>IP_SI_Units</vt:lpstr>
      <vt:lpstr>LEED_Renewable_Category</vt:lpstr>
      <vt:lpstr>Lookup_RatingSystem</vt:lpstr>
      <vt:lpstr>Lookup_Tier1_Points</vt:lpstr>
      <vt:lpstr>Lookup_Tier2_Points</vt:lpstr>
      <vt:lpstr>Lookup_Tier3_Points</vt:lpstr>
      <vt:lpstr>NA_owned</vt:lpstr>
      <vt:lpstr>Renewable_Location_Table</vt:lpstr>
      <vt:lpstr>Renewable_Source_Table</vt:lpstr>
      <vt:lpstr>Select_Contract_Length</vt:lpstr>
      <vt:lpstr>Site_Energy_Table</vt:lpstr>
      <vt:lpstr>TableRatingSystem</vt:lpstr>
      <vt:lpstr>Tier1_Location_List</vt:lpstr>
      <vt:lpstr>Tier1_Procurement_Type</vt:lpstr>
      <vt:lpstr>Tier1_Renewable_Type</vt:lpstr>
      <vt:lpstr>Tier2_3_Location_List</vt:lpstr>
      <vt:lpstr>Tier2_Procurement_Type</vt:lpstr>
      <vt:lpstr>Tier2_Renewable_Type</vt:lpstr>
      <vt:lpstr>Tier3_Procurement_Type</vt:lpstr>
      <vt:lpstr>Tier3_Renewable_Type</vt:lpstr>
      <vt:lpstr>Units_Consumption</vt:lpstr>
      <vt:lpstr>Years_Lookup</vt:lpstr>
    </vt:vector>
  </TitlesOfParts>
  <Company>US Green Building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USGBC</dc:creator>
  <cp:lastModifiedBy>Gail Hampsmire</cp:lastModifiedBy>
  <cp:lastPrinted>2009-12-08T22:20:10Z</cp:lastPrinted>
  <dcterms:created xsi:type="dcterms:W3CDTF">2009-11-06T14:53:57Z</dcterms:created>
  <dcterms:modified xsi:type="dcterms:W3CDTF">2024-06-07T20:39:33Z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0x010100D72955FC2011C74DAFB5091C8C65621E</vt:lpwstr>
  </property>
</Properties>
</file>